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\KMP\goodidlegame\tools\luban\Datas\"/>
    </mc:Choice>
  </mc:AlternateContent>
  <xr:revisionPtr revIDLastSave="0" documentId="13_ncr:1_{BF07D486-58E0-4008-B292-6CC6AD2DCEA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2" sheetId="2" r:id="rId1"/>
    <sheet name="Sheet3" sheetId="5" r:id="rId2"/>
    <sheet name="Stat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C2" i="2" a="1"/>
  <c r="C2" i="2" s="1"/>
  <c r="C3" i="2" a="1"/>
  <c r="C3" i="2" s="1"/>
  <c r="C4" i="2" a="1"/>
  <c r="C4" i="2" s="1"/>
  <c r="C5" i="2" a="1"/>
  <c r="C5" i="2" s="1"/>
  <c r="C6" i="2" a="1"/>
  <c r="C6" i="2"/>
  <c r="C7" i="2" a="1"/>
  <c r="C7" i="2" s="1"/>
  <c r="C8" i="2" a="1"/>
  <c r="C8" i="2"/>
  <c r="C9" i="2" a="1"/>
  <c r="C9" i="2"/>
  <c r="C10" i="2" a="1"/>
  <c r="C10" i="2" s="1"/>
  <c r="C11" i="2" a="1"/>
  <c r="C11" i="2" s="1"/>
  <c r="C12" i="2" a="1"/>
  <c r="C12" i="2" s="1"/>
  <c r="C13" i="2" a="1"/>
  <c r="C13" i="2" s="1"/>
  <c r="C14" i="2" a="1"/>
  <c r="C14" i="2"/>
  <c r="C15" i="2" a="1"/>
  <c r="C15" i="2" s="1"/>
  <c r="C16" i="2" a="1"/>
  <c r="C16" i="2"/>
  <c r="C17" i="2" a="1"/>
  <c r="C17" i="2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/>
  <c r="C25" i="2" a="1"/>
  <c r="C25" i="2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/>
  <c r="C33" i="2" a="1"/>
  <c r="C33" i="2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/>
  <c r="C41" i="2" a="1"/>
  <c r="C41" i="2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/>
  <c r="C49" i="2" a="1"/>
  <c r="C49" i="2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/>
  <c r="C57" i="2" a="1"/>
  <c r="C57" i="2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/>
  <c r="C65" i="2" a="1"/>
  <c r="C65" i="2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/>
  <c r="C73" i="2" a="1"/>
  <c r="C73" i="2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/>
  <c r="C81" i="2" a="1"/>
  <c r="C81" i="2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C87" i="2" a="1"/>
  <c r="C87" i="2" s="1"/>
  <c r="C88" i="2" a="1"/>
  <c r="C88" i="2"/>
  <c r="C89" i="2" a="1"/>
  <c r="C89" i="2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/>
  <c r="C97" i="2" a="1"/>
  <c r="C97" i="2"/>
  <c r="C98" i="2" a="1"/>
  <c r="C98" i="2" s="1"/>
  <c r="C99" i="2" a="1"/>
  <c r="C99" i="2" s="1"/>
  <c r="C100" i="2" a="1"/>
  <c r="C100" i="2" s="1"/>
  <c r="C101" i="2" a="1"/>
  <c r="C101" i="2" s="1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B3" i="5"/>
  <c r="B4" i="5"/>
  <c r="B5" i="5"/>
  <c r="B6" i="5"/>
  <c r="B7" i="5"/>
  <c r="B8" i="5"/>
  <c r="B9" i="5"/>
  <c r="B2" i="5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2" i="5" a="1"/>
  <c r="C2" i="5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G61" i="2" l="1"/>
  <c r="H61" i="2" s="1"/>
  <c r="G45" i="2"/>
  <c r="H45" i="2" s="1"/>
  <c r="G29" i="2"/>
  <c r="H29" i="2" s="1"/>
  <c r="G60" i="2"/>
  <c r="H60" i="2" s="1"/>
  <c r="G12" i="2"/>
  <c r="H12" i="2" s="1"/>
  <c r="G87" i="2"/>
  <c r="H87" i="2" s="1"/>
  <c r="G55" i="2"/>
  <c r="H55" i="2" s="1"/>
  <c r="G39" i="2"/>
  <c r="H39" i="2" s="1"/>
  <c r="G86" i="2"/>
  <c r="H86" i="2" s="1"/>
  <c r="G54" i="2"/>
  <c r="H54" i="2" s="1"/>
  <c r="G38" i="2"/>
  <c r="H38" i="2" s="1"/>
  <c r="G90" i="2"/>
  <c r="H90" i="2" s="1"/>
  <c r="G74" i="2"/>
  <c r="H74" i="2" s="1"/>
  <c r="G100" i="2"/>
  <c r="H100" i="2" s="1"/>
  <c r="G84" i="2"/>
  <c r="H84" i="2" s="1"/>
  <c r="G68" i="2"/>
  <c r="H68" i="2" s="1"/>
  <c r="G92" i="2"/>
  <c r="H92" i="2" s="1"/>
  <c r="G83" i="2"/>
  <c r="H83" i="2" s="1"/>
  <c r="G91" i="2"/>
  <c r="H91" i="2" s="1"/>
  <c r="G98" i="2"/>
  <c r="H98" i="2" s="1"/>
  <c r="G82" i="2"/>
  <c r="H82" i="2" s="1"/>
  <c r="G66" i="2"/>
  <c r="H66" i="2" s="1"/>
  <c r="G80" i="2"/>
  <c r="H80" i="2" s="1"/>
  <c r="G64" i="2"/>
  <c r="H64" i="2" s="1"/>
  <c r="G95" i="2"/>
  <c r="H95" i="2" s="1"/>
  <c r="G79" i="2"/>
  <c r="H79" i="2" s="1"/>
  <c r="G78" i="2"/>
  <c r="H78" i="2" s="1"/>
  <c r="G30" i="2"/>
  <c r="H30" i="2" s="1"/>
  <c r="G96" i="2"/>
  <c r="H96" i="2" s="1"/>
  <c r="G85" i="2"/>
  <c r="H85" i="2" s="1"/>
  <c r="G88" i="2"/>
  <c r="H88" i="2" s="1"/>
  <c r="G97" i="2"/>
  <c r="H97" i="2" s="1"/>
  <c r="G101" i="2"/>
  <c r="H101" i="2" s="1"/>
  <c r="G93" i="2"/>
  <c r="H93" i="2" s="1"/>
  <c r="G89" i="2"/>
  <c r="H89" i="2" s="1"/>
  <c r="G99" i="2"/>
  <c r="H99" i="2" s="1"/>
  <c r="G94" i="2"/>
  <c r="H94" i="2" s="1"/>
  <c r="G67" i="2"/>
  <c r="H67" i="2" s="1"/>
  <c r="G70" i="2"/>
  <c r="H70" i="2" s="1"/>
  <c r="G71" i="2"/>
  <c r="H71" i="2" s="1"/>
  <c r="G76" i="2"/>
  <c r="H76" i="2" s="1"/>
  <c r="G75" i="2"/>
  <c r="H75" i="2" s="1"/>
  <c r="G72" i="2"/>
  <c r="H72" i="2" s="1"/>
  <c r="G56" i="2"/>
  <c r="H56" i="2" s="1"/>
  <c r="G53" i="2"/>
  <c r="H53" i="2" s="1"/>
  <c r="G77" i="2"/>
  <c r="H77" i="2" s="1"/>
  <c r="G69" i="2"/>
  <c r="H69" i="2" s="1"/>
  <c r="G58" i="2"/>
  <c r="H58" i="2" s="1"/>
  <c r="G63" i="2"/>
  <c r="H63" i="2" s="1"/>
  <c r="G52" i="2"/>
  <c r="H52" i="2" s="1"/>
  <c r="G81" i="2"/>
  <c r="H81" i="2" s="1"/>
  <c r="G73" i="2"/>
  <c r="H73" i="2" s="1"/>
  <c r="G65" i="2"/>
  <c r="H65" i="2" s="1"/>
  <c r="G57" i="2"/>
  <c r="H57" i="2" s="1"/>
  <c r="G62" i="2"/>
  <c r="H62" i="2" s="1"/>
  <c r="G51" i="2"/>
  <c r="H51" i="2" s="1"/>
  <c r="G59" i="2"/>
  <c r="H59" i="2" s="1"/>
  <c r="G10" i="2"/>
  <c r="H10" i="2" s="1"/>
  <c r="G11" i="2"/>
  <c r="H11" i="2" s="1"/>
  <c r="G46" i="2"/>
  <c r="H46" i="2" s="1"/>
  <c r="G43" i="2"/>
  <c r="H43" i="2" s="1"/>
  <c r="G9" i="2"/>
  <c r="H9" i="2" s="1"/>
  <c r="G27" i="2"/>
  <c r="H27" i="2" s="1"/>
  <c r="G32" i="2"/>
  <c r="H32" i="2" s="1"/>
  <c r="G44" i="2"/>
  <c r="H44" i="2" s="1"/>
  <c r="G28" i="2"/>
  <c r="H28" i="2" s="1"/>
  <c r="G42" i="2"/>
  <c r="H42" i="2" s="1"/>
  <c r="G20" i="2"/>
  <c r="H20" i="2" s="1"/>
  <c r="G25" i="2"/>
  <c r="H25" i="2" s="1"/>
  <c r="G15" i="2"/>
  <c r="H15" i="2" s="1"/>
  <c r="G2" i="2"/>
  <c r="G24" i="2"/>
  <c r="H24" i="2" s="1"/>
  <c r="G21" i="2"/>
  <c r="H21" i="2" s="1"/>
  <c r="G18" i="2"/>
  <c r="H18" i="2" s="1"/>
  <c r="G33" i="2"/>
  <c r="H33" i="2" s="1"/>
  <c r="G31" i="2"/>
  <c r="H31" i="2" s="1"/>
  <c r="G49" i="2"/>
  <c r="H49" i="2" s="1"/>
  <c r="G17" i="2"/>
  <c r="H17" i="2" s="1"/>
  <c r="G8" i="2" l="1"/>
  <c r="H8" i="2" s="1"/>
  <c r="G37" i="2"/>
  <c r="H37" i="2" s="1"/>
  <c r="G26" i="2"/>
  <c r="H26" i="2" s="1"/>
  <c r="G50" i="2"/>
  <c r="H50" i="2" s="1"/>
  <c r="G7" i="2"/>
  <c r="H7" i="2" s="1"/>
  <c r="G3" i="2"/>
  <c r="H3" i="2" s="1"/>
  <c r="G14" i="2"/>
  <c r="H14" i="2" s="1"/>
  <c r="G6" i="2"/>
  <c r="H6" i="2" s="1"/>
  <c r="G34" i="2"/>
  <c r="H34" i="2" s="1"/>
  <c r="G41" i="2"/>
  <c r="H41" i="2" s="1"/>
  <c r="G22" i="2"/>
  <c r="H22" i="2" s="1"/>
  <c r="G23" i="2"/>
  <c r="H23" i="2" s="1"/>
  <c r="G47" i="2"/>
  <c r="H47" i="2" s="1"/>
  <c r="G35" i="2"/>
  <c r="H35" i="2" s="1"/>
  <c r="G16" i="2"/>
  <c r="H16" i="2" s="1"/>
  <c r="G4" i="2"/>
  <c r="H4" i="2" s="1"/>
  <c r="H2" i="2"/>
  <c r="G48" i="2"/>
  <c r="H48" i="2" s="1"/>
  <c r="G36" i="2"/>
  <c r="H36" i="2" s="1"/>
  <c r="G19" i="2"/>
  <c r="H19" i="2" s="1"/>
  <c r="G5" i="2"/>
  <c r="H5" i="2" s="1"/>
  <c r="G40" i="2"/>
  <c r="H40" i="2" s="1"/>
  <c r="G13" i="2"/>
  <c r="H13" i="2" s="1"/>
  <c r="H10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<sst xmlns="http://schemas.openxmlformats.org/spreadsheetml/2006/main" count="21" uniqueCount="19">
  <si>
    <t>tier</t>
    <phoneticPr fontId="1" type="noConversion"/>
  </si>
  <si>
    <t>multiplier</t>
    <phoneticPr fontId="1" type="noConversion"/>
  </si>
  <si>
    <t>action_duration</t>
    <phoneticPr fontId="1" type="noConversion"/>
  </si>
  <si>
    <t>getXp</t>
    <phoneticPr fontId="1" type="noConversion"/>
  </si>
  <si>
    <t>level</t>
    <phoneticPr fontId="1" type="noConversion"/>
  </si>
  <si>
    <t>XP_needed</t>
    <phoneticPr fontId="1" type="noConversion"/>
  </si>
  <si>
    <t>time_min</t>
    <phoneticPr fontId="1" type="noConversion"/>
  </si>
  <si>
    <t>time_hour</t>
    <phoneticPr fontId="1" type="noConversion"/>
  </si>
  <si>
    <t>Stat 计算：</t>
    <phoneticPr fontId="1" type="noConversion"/>
  </si>
  <si>
    <t>value * (1 + )</t>
    <phoneticPr fontId="1" type="noConversion"/>
  </si>
  <si>
    <t>Channels:</t>
    <phoneticPr fontId="1" type="noConversion"/>
  </si>
  <si>
    <t>1. Equipment</t>
    <phoneticPr fontId="1" type="noConversion"/>
  </si>
  <si>
    <t>2. Props</t>
    <phoneticPr fontId="1" type="noConversion"/>
  </si>
  <si>
    <t>3. ToDo</t>
    <phoneticPr fontId="1" type="noConversion"/>
  </si>
  <si>
    <t>4. Relics</t>
    <phoneticPr fontId="1" type="noConversion"/>
  </si>
  <si>
    <t>玩家应该在 18 天内通关。</t>
    <phoneticPr fontId="1" type="noConversion"/>
  </si>
  <si>
    <t>第一天</t>
    <phoneticPr fontId="1" type="noConversion"/>
  </si>
  <si>
    <t>解锁全部技能，玩到</t>
    <phoneticPr fontId="1" type="noConversion"/>
  </si>
  <si>
    <t>action_get_xp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</si>
</sst>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 "/>
    <numFmt numFmtId="177" formatCode="#,##0_ "/>
    <numFmt numFmtId="178" formatCode="#,##0.00_);[Red]\(#,##0.00\)"/>
    <numFmt numFmtId="179" formatCode="#,##0_);[Red]\(#,##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8" fontId="2" fillId="0" borderId="0" xfId="0" applyNumberFormat="1" applyFont="1"/>
    <xf numFmtId="179" fontId="0" fillId="0" borderId="0" xfId="0" applyNumberFormat="1"/>
    <xf numFmtId="179" fontId="2" fillId="0" borderId="0" xfId="0" applyNumberFormat="1" applyFont="1"/>
    <xf numFmtId="177" fontId="3" fillId="0" borderId="0" xfId="0" applyNumberFormat="1" applyFont="1"/>
    <xf numFmtId="176" fontId="3" fillId="0" borderId="0" xfId="0" applyNumberFormat="1" applyFont="1"/>
    <xf numFmtId="179" fontId="3" fillId="0" borderId="0" xfId="0" applyNumberFormat="1" applyFont="1"/>
    <xf numFmtId="178" fontId="3" fillId="0" borderId="0" xfId="0" applyNumberFormat="1" applyFont="1"/>
  </cellXfs>
  <cellStyles count="1">
    <cellStyle name="常规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8" formatCode="#,##0.00_);[Red]\(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9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7" formatCode="#,##0_ 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8" formatCode="#,##0.00_);[Red]\(#,##0.00\)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8" formatCode="#,##0.00_);[Red]\(#,##0.00\)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9" formatCode="#,##0_);[Red]\(#,##0\)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6" formatCode="#,##0.00_ 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numFmt numFmtId="177" formatCode="#,##0_ "/>
    </dxf>
    <dxf>
      <font>
        <strike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time_min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Sheet2!$A$2:$A$103</c:f>
              <c:numCache>
                <c:formatCode>#,##0_ 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Sheet2!$G$2:$G$103</c:f>
              <c:numCache>
                <c:formatCode>#,##0.00_);[Red]\(#,##0.00\)</c:formatCode>
                <c:ptCount val="102"/>
                <c:pt idx="0">
                  <c:v>0.625</c:v>
                </c:pt>
                <c:pt idx="1">
                  <c:v>0.69166666666666665</c:v>
                </c:pt>
                <c:pt idx="2">
                  <c:v>0.76666666666666672</c:v>
                </c:pt>
                <c:pt idx="3">
                  <c:v>0.84166666666666667</c:v>
                </c:pt>
                <c:pt idx="4">
                  <c:v>0.93333333333333335</c:v>
                </c:pt>
                <c:pt idx="5">
                  <c:v>1.0333333333333334</c:v>
                </c:pt>
                <c:pt idx="6">
                  <c:v>1.1416666666666666</c:v>
                </c:pt>
                <c:pt idx="7">
                  <c:v>1.2666666666666666</c:v>
                </c:pt>
                <c:pt idx="8">
                  <c:v>1.4</c:v>
                </c:pt>
                <c:pt idx="9">
                  <c:v>1.5416666666666667</c:v>
                </c:pt>
                <c:pt idx="10">
                  <c:v>1.7</c:v>
                </c:pt>
                <c:pt idx="11">
                  <c:v>1.8833333333333333</c:v>
                </c:pt>
                <c:pt idx="12">
                  <c:v>2.0750000000000002</c:v>
                </c:pt>
                <c:pt idx="13">
                  <c:v>2.2916666666666665</c:v>
                </c:pt>
                <c:pt idx="14">
                  <c:v>2.5333333333333332</c:v>
                </c:pt>
                <c:pt idx="15">
                  <c:v>2.7916666666666665</c:v>
                </c:pt>
                <c:pt idx="16">
                  <c:v>3.0833333333333335</c:v>
                </c:pt>
                <c:pt idx="17">
                  <c:v>3.4</c:v>
                </c:pt>
                <c:pt idx="18">
                  <c:v>3.7583333333333333</c:v>
                </c:pt>
                <c:pt idx="19">
                  <c:v>4.1416666666666666</c:v>
                </c:pt>
                <c:pt idx="20">
                  <c:v>4.5750000000000002</c:v>
                </c:pt>
                <c:pt idx="21">
                  <c:v>5.05</c:v>
                </c:pt>
                <c:pt idx="22">
                  <c:v>5.5750000000000002</c:v>
                </c:pt>
                <c:pt idx="23">
                  <c:v>6.15</c:v>
                </c:pt>
                <c:pt idx="24">
                  <c:v>6.7833333333333332</c:v>
                </c:pt>
                <c:pt idx="25">
                  <c:v>7.4916666666666663</c:v>
                </c:pt>
                <c:pt idx="26">
                  <c:v>8.2666666666666675</c:v>
                </c:pt>
                <c:pt idx="27">
                  <c:v>9.1166666666666671</c:v>
                </c:pt>
                <c:pt idx="28">
                  <c:v>10.066666666666666</c:v>
                </c:pt>
                <c:pt idx="29">
                  <c:v>11.108333333333333</c:v>
                </c:pt>
                <c:pt idx="30">
                  <c:v>12.258333333333333</c:v>
                </c:pt>
                <c:pt idx="31">
                  <c:v>13.533333333333333</c:v>
                </c:pt>
                <c:pt idx="32">
                  <c:v>14.933333333333334</c:v>
                </c:pt>
                <c:pt idx="33">
                  <c:v>16.483333333333334</c:v>
                </c:pt>
                <c:pt idx="34">
                  <c:v>18.191666666666666</c:v>
                </c:pt>
                <c:pt idx="35">
                  <c:v>20.083333333333332</c:v>
                </c:pt>
                <c:pt idx="36">
                  <c:v>22.166666666666668</c:v>
                </c:pt>
                <c:pt idx="37">
                  <c:v>24.466666666666665</c:v>
                </c:pt>
                <c:pt idx="38">
                  <c:v>27.008333333333333</c:v>
                </c:pt>
                <c:pt idx="39">
                  <c:v>29.816666666666666</c:v>
                </c:pt>
                <c:pt idx="40">
                  <c:v>32.908333333333331</c:v>
                </c:pt>
                <c:pt idx="41">
                  <c:v>36.325000000000003</c:v>
                </c:pt>
                <c:pt idx="42">
                  <c:v>40.1</c:v>
                </c:pt>
                <c:pt idx="43">
                  <c:v>44.266666666666666</c:v>
                </c:pt>
                <c:pt idx="44">
                  <c:v>48.866666666666667</c:v>
                </c:pt>
                <c:pt idx="45">
                  <c:v>53.94166666666667</c:v>
                </c:pt>
                <c:pt idx="46">
                  <c:v>59.55</c:v>
                </c:pt>
                <c:pt idx="47">
                  <c:v>65.74166666666666</c:v>
                </c:pt>
                <c:pt idx="48">
                  <c:v>72.575000000000003</c:v>
                </c:pt>
                <c:pt idx="49">
                  <c:v>80.11666666666666</c:v>
                </c:pt>
                <c:pt idx="50">
                  <c:v>88.45</c:v>
                </c:pt>
                <c:pt idx="51">
                  <c:v>97.641666666666666</c:v>
                </c:pt>
                <c:pt idx="52">
                  <c:v>107.8</c:v>
                </c:pt>
                <c:pt idx="53">
                  <c:v>119.00833333333334</c:v>
                </c:pt>
                <c:pt idx="54">
                  <c:v>131.38333333333333</c:v>
                </c:pt>
                <c:pt idx="55">
                  <c:v>145.05000000000001</c:v>
                </c:pt>
                <c:pt idx="56">
                  <c:v>160.13333333333333</c:v>
                </c:pt>
                <c:pt idx="57">
                  <c:v>176.79166666666666</c:v>
                </c:pt>
                <c:pt idx="58">
                  <c:v>195.18333333333334</c:v>
                </c:pt>
                <c:pt idx="59">
                  <c:v>215.48333333333332</c:v>
                </c:pt>
                <c:pt idx="60">
                  <c:v>237.90833333333333</c:v>
                </c:pt>
                <c:pt idx="61">
                  <c:v>262.65833333333336</c:v>
                </c:pt>
                <c:pt idx="62">
                  <c:v>289.98333333333335</c:v>
                </c:pt>
                <c:pt idx="63">
                  <c:v>320.14999999999998</c:v>
                </c:pt>
                <c:pt idx="64">
                  <c:v>353.46666666666664</c:v>
                </c:pt>
                <c:pt idx="65">
                  <c:v>390.24166666666667</c:v>
                </c:pt>
                <c:pt idx="66">
                  <c:v>430.85</c:v>
                </c:pt>
                <c:pt idx="67">
                  <c:v>475.68333333333334</c:v>
                </c:pt>
                <c:pt idx="68">
                  <c:v>525.18333333333328</c:v>
                </c:pt>
                <c:pt idx="69">
                  <c:v>579.83333333333337</c:v>
                </c:pt>
                <c:pt idx="70">
                  <c:v>640.17499999999995</c:v>
                </c:pt>
                <c:pt idx="71">
                  <c:v>706.79166666666663</c:v>
                </c:pt>
                <c:pt idx="72">
                  <c:v>780.3416666666667</c:v>
                </c:pt>
                <c:pt idx="73">
                  <c:v>861.55833333333328</c:v>
                </c:pt>
                <c:pt idx="74">
                  <c:v>951.2166666666667</c:v>
                </c:pt>
                <c:pt idx="75">
                  <c:v>1050.2166666666667</c:v>
                </c:pt>
                <c:pt idx="76">
                  <c:v>1159.5083333333334</c:v>
                </c:pt>
                <c:pt idx="77">
                  <c:v>1280.1916666666666</c:v>
                </c:pt>
                <c:pt idx="78">
                  <c:v>1413.425</c:v>
                </c:pt>
                <c:pt idx="79">
                  <c:v>1560.5333333333333</c:v>
                </c:pt>
                <c:pt idx="80">
                  <c:v>1722.95</c:v>
                </c:pt>
                <c:pt idx="81">
                  <c:v>1902.2750000000001</c:v>
                </c:pt>
                <c:pt idx="82">
                  <c:v>2100.2583333333332</c:v>
                </c:pt>
                <c:pt idx="83">
                  <c:v>2318.8583333333331</c:v>
                </c:pt>
                <c:pt idx="84">
                  <c:v>2560.2083333333335</c:v>
                </c:pt>
                <c:pt idx="85">
                  <c:v>2826.6750000000002</c:v>
                </c:pt>
                <c:pt idx="86">
                  <c:v>3120.8833333333332</c:v>
                </c:pt>
                <c:pt idx="87">
                  <c:v>3445.7166666666667</c:v>
                </c:pt>
                <c:pt idx="88">
                  <c:v>3804.3583333333331</c:v>
                </c:pt>
                <c:pt idx="89">
                  <c:v>4200.333333333333</c:v>
                </c:pt>
                <c:pt idx="90">
                  <c:v>4637.5249999999996</c:v>
                </c:pt>
                <c:pt idx="91">
                  <c:v>5120.2250000000004</c:v>
                </c:pt>
                <c:pt idx="92">
                  <c:v>5653.166666666667</c:v>
                </c:pt>
                <c:pt idx="93">
                  <c:v>6241.5749999999998</c:v>
                </c:pt>
                <c:pt idx="94">
                  <c:v>6891.2416666666668</c:v>
                </c:pt>
                <c:pt idx="95">
                  <c:v>7608.5249999999996</c:v>
                </c:pt>
                <c:pt idx="96">
                  <c:v>8400.4666666666672</c:v>
                </c:pt>
                <c:pt idx="97">
                  <c:v>9274.85</c:v>
                </c:pt>
                <c:pt idx="98">
                  <c:v>10240.241666666667</c:v>
                </c:pt>
                <c:pt idx="99">
                  <c:v>11306.116666666667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AA-4101-83C4-7AEA0D8B2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543376"/>
        <c:axId val="720534736"/>
      </c:lineChart>
      <c:catAx>
        <c:axId val="720543376"/>
        <c:scaling>
          <c:orientation val="minMax"/>
        </c:scaling>
        <c:delete val="0"/>
        <c:axPos val="b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0534736"/>
        <c:crosses val="autoZero"/>
        <c:auto val="1"/>
        <c:lblAlgn val="ctr"/>
        <c:lblOffset val="100"/>
        <c:noMultiLvlLbl val="0"/>
      </c:catAx>
      <c:valAx>
        <c:axId val="7205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2054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XP_needed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Sheet2!$A$2:$A$103</c:f>
              <c:numCache>
                <c:formatCode>#,##0_ 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Sheet2!$F$2:$F$103</c:f>
              <c:numCache>
                <c:formatCode>#,##0_);[Red]\(#,##0\)</c:formatCode>
                <c:ptCount val="102"/>
                <c:pt idx="0">
                  <c:v>75</c:v>
                </c:pt>
                <c:pt idx="1">
                  <c:v>83</c:v>
                </c:pt>
                <c:pt idx="2">
                  <c:v>92</c:v>
                </c:pt>
                <c:pt idx="3">
                  <c:v>101</c:v>
                </c:pt>
                <c:pt idx="4">
                  <c:v>112</c:v>
                </c:pt>
                <c:pt idx="5">
                  <c:v>124</c:v>
                </c:pt>
                <c:pt idx="6">
                  <c:v>137</c:v>
                </c:pt>
                <c:pt idx="7">
                  <c:v>152</c:v>
                </c:pt>
                <c:pt idx="8">
                  <c:v>168</c:v>
                </c:pt>
                <c:pt idx="9">
                  <c:v>185</c:v>
                </c:pt>
                <c:pt idx="10">
                  <c:v>204</c:v>
                </c:pt>
                <c:pt idx="11">
                  <c:v>226</c:v>
                </c:pt>
                <c:pt idx="12">
                  <c:v>249</c:v>
                </c:pt>
                <c:pt idx="13">
                  <c:v>275</c:v>
                </c:pt>
                <c:pt idx="14">
                  <c:v>304</c:v>
                </c:pt>
                <c:pt idx="15">
                  <c:v>335</c:v>
                </c:pt>
                <c:pt idx="16">
                  <c:v>370</c:v>
                </c:pt>
                <c:pt idx="17">
                  <c:v>408</c:v>
                </c:pt>
                <c:pt idx="18">
                  <c:v>451</c:v>
                </c:pt>
                <c:pt idx="19">
                  <c:v>497</c:v>
                </c:pt>
                <c:pt idx="20">
                  <c:v>549</c:v>
                </c:pt>
                <c:pt idx="21">
                  <c:v>606</c:v>
                </c:pt>
                <c:pt idx="22">
                  <c:v>669</c:v>
                </c:pt>
                <c:pt idx="23">
                  <c:v>738</c:v>
                </c:pt>
                <c:pt idx="24">
                  <c:v>814</c:v>
                </c:pt>
                <c:pt idx="25">
                  <c:v>899</c:v>
                </c:pt>
                <c:pt idx="26">
                  <c:v>992</c:v>
                </c:pt>
                <c:pt idx="27">
                  <c:v>1094</c:v>
                </c:pt>
                <c:pt idx="28">
                  <c:v>1208</c:v>
                </c:pt>
                <c:pt idx="29">
                  <c:v>1333</c:v>
                </c:pt>
                <c:pt idx="30">
                  <c:v>1471</c:v>
                </c:pt>
                <c:pt idx="31">
                  <c:v>1624</c:v>
                </c:pt>
                <c:pt idx="32">
                  <c:v>1792</c:v>
                </c:pt>
                <c:pt idx="33">
                  <c:v>1978</c:v>
                </c:pt>
                <c:pt idx="34">
                  <c:v>2183</c:v>
                </c:pt>
                <c:pt idx="35">
                  <c:v>2410</c:v>
                </c:pt>
                <c:pt idx="36">
                  <c:v>2660</c:v>
                </c:pt>
                <c:pt idx="37">
                  <c:v>2936</c:v>
                </c:pt>
                <c:pt idx="38">
                  <c:v>3241</c:v>
                </c:pt>
                <c:pt idx="39">
                  <c:v>3578</c:v>
                </c:pt>
                <c:pt idx="40">
                  <c:v>3949</c:v>
                </c:pt>
                <c:pt idx="41">
                  <c:v>4359</c:v>
                </c:pt>
                <c:pt idx="42">
                  <c:v>4812</c:v>
                </c:pt>
                <c:pt idx="43">
                  <c:v>5312</c:v>
                </c:pt>
                <c:pt idx="44">
                  <c:v>5864</c:v>
                </c:pt>
                <c:pt idx="45">
                  <c:v>6473</c:v>
                </c:pt>
                <c:pt idx="46">
                  <c:v>7146</c:v>
                </c:pt>
                <c:pt idx="47">
                  <c:v>7889</c:v>
                </c:pt>
                <c:pt idx="48">
                  <c:v>8709</c:v>
                </c:pt>
                <c:pt idx="49">
                  <c:v>9614</c:v>
                </c:pt>
                <c:pt idx="50">
                  <c:v>10614</c:v>
                </c:pt>
                <c:pt idx="51">
                  <c:v>11717</c:v>
                </c:pt>
                <c:pt idx="52">
                  <c:v>12936</c:v>
                </c:pt>
                <c:pt idx="53">
                  <c:v>14281</c:v>
                </c:pt>
                <c:pt idx="54">
                  <c:v>15766</c:v>
                </c:pt>
                <c:pt idx="55">
                  <c:v>17406</c:v>
                </c:pt>
                <c:pt idx="56">
                  <c:v>19216</c:v>
                </c:pt>
                <c:pt idx="57">
                  <c:v>21215</c:v>
                </c:pt>
                <c:pt idx="58">
                  <c:v>23422</c:v>
                </c:pt>
                <c:pt idx="59">
                  <c:v>25858</c:v>
                </c:pt>
                <c:pt idx="60">
                  <c:v>28549</c:v>
                </c:pt>
                <c:pt idx="61">
                  <c:v>31519</c:v>
                </c:pt>
                <c:pt idx="62">
                  <c:v>34798</c:v>
                </c:pt>
                <c:pt idx="63">
                  <c:v>38418</c:v>
                </c:pt>
                <c:pt idx="64">
                  <c:v>42416</c:v>
                </c:pt>
                <c:pt idx="65">
                  <c:v>46829</c:v>
                </c:pt>
                <c:pt idx="66">
                  <c:v>51702</c:v>
                </c:pt>
                <c:pt idx="67">
                  <c:v>57082</c:v>
                </c:pt>
                <c:pt idx="68">
                  <c:v>63022</c:v>
                </c:pt>
                <c:pt idx="69">
                  <c:v>69580</c:v>
                </c:pt>
                <c:pt idx="70">
                  <c:v>76821</c:v>
                </c:pt>
                <c:pt idx="71">
                  <c:v>84815</c:v>
                </c:pt>
                <c:pt idx="72">
                  <c:v>93641</c:v>
                </c:pt>
                <c:pt idx="73">
                  <c:v>103387</c:v>
                </c:pt>
                <c:pt idx="74">
                  <c:v>114146</c:v>
                </c:pt>
                <c:pt idx="75">
                  <c:v>126026</c:v>
                </c:pt>
                <c:pt idx="76">
                  <c:v>139141</c:v>
                </c:pt>
                <c:pt idx="77">
                  <c:v>153623</c:v>
                </c:pt>
                <c:pt idx="78">
                  <c:v>169611</c:v>
                </c:pt>
                <c:pt idx="79">
                  <c:v>187264</c:v>
                </c:pt>
                <c:pt idx="80">
                  <c:v>206754</c:v>
                </c:pt>
                <c:pt idx="81">
                  <c:v>228273</c:v>
                </c:pt>
                <c:pt idx="82">
                  <c:v>252031</c:v>
                </c:pt>
                <c:pt idx="83">
                  <c:v>278263</c:v>
                </c:pt>
                <c:pt idx="84">
                  <c:v>307225</c:v>
                </c:pt>
                <c:pt idx="85">
                  <c:v>339201</c:v>
                </c:pt>
                <c:pt idx="86">
                  <c:v>374506</c:v>
                </c:pt>
                <c:pt idx="87">
                  <c:v>413486</c:v>
                </c:pt>
                <c:pt idx="88">
                  <c:v>456523</c:v>
                </c:pt>
                <c:pt idx="89">
                  <c:v>504040</c:v>
                </c:pt>
                <c:pt idx="90">
                  <c:v>556503</c:v>
                </c:pt>
                <c:pt idx="91">
                  <c:v>614427</c:v>
                </c:pt>
                <c:pt idx="92">
                  <c:v>678380</c:v>
                </c:pt>
                <c:pt idx="93">
                  <c:v>748989</c:v>
                </c:pt>
                <c:pt idx="94">
                  <c:v>826949</c:v>
                </c:pt>
                <c:pt idx="95">
                  <c:v>913023</c:v>
                </c:pt>
                <c:pt idx="96">
                  <c:v>1008056</c:v>
                </c:pt>
                <c:pt idx="97">
                  <c:v>1112982</c:v>
                </c:pt>
                <c:pt idx="98">
                  <c:v>1228829</c:v>
                </c:pt>
                <c:pt idx="99">
                  <c:v>1356734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8-4BCE-AA58-CF58A7B24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230288"/>
        <c:axId val="927219728"/>
      </c:scatterChart>
      <c:valAx>
        <c:axId val="92723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7219728"/>
        <c:crosses val="autoZero"/>
        <c:crossBetween val="midCat"/>
      </c:valAx>
      <c:valAx>
        <c:axId val="92721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723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time_hour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Sheet2!$A$2:$A$103</c:f>
              <c:numCache>
                <c:formatCode>#,##0_ 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Sheet2!$H$2:$H$103</c:f>
              <c:numCache>
                <c:formatCode>#,##0.00_);[Red]\(#,##0.00\)</c:formatCode>
                <c:ptCount val="102"/>
                <c:pt idx="0">
                  <c:v>1.0416666666666666E-2</c:v>
                </c:pt>
                <c:pt idx="1">
                  <c:v>1.1527777777777777E-2</c:v>
                </c:pt>
                <c:pt idx="2">
                  <c:v>1.2777777777777779E-2</c:v>
                </c:pt>
                <c:pt idx="3">
                  <c:v>1.4027777777777778E-2</c:v>
                </c:pt>
                <c:pt idx="4">
                  <c:v>1.5555555555555555E-2</c:v>
                </c:pt>
                <c:pt idx="5">
                  <c:v>1.7222222222222226E-2</c:v>
                </c:pt>
                <c:pt idx="6">
                  <c:v>1.9027777777777775E-2</c:v>
                </c:pt>
                <c:pt idx="7">
                  <c:v>2.1111111111111112E-2</c:v>
                </c:pt>
                <c:pt idx="8">
                  <c:v>2.3333333333333331E-2</c:v>
                </c:pt>
                <c:pt idx="9">
                  <c:v>2.5694444444444447E-2</c:v>
                </c:pt>
                <c:pt idx="10">
                  <c:v>2.8333333333333332E-2</c:v>
                </c:pt>
                <c:pt idx="11">
                  <c:v>3.138888888888889E-2</c:v>
                </c:pt>
                <c:pt idx="12">
                  <c:v>3.4583333333333334E-2</c:v>
                </c:pt>
                <c:pt idx="13">
                  <c:v>3.8194444444444441E-2</c:v>
                </c:pt>
                <c:pt idx="14">
                  <c:v>4.2222222222222223E-2</c:v>
                </c:pt>
                <c:pt idx="15">
                  <c:v>4.6527777777777772E-2</c:v>
                </c:pt>
                <c:pt idx="16">
                  <c:v>5.1388888888888894E-2</c:v>
                </c:pt>
                <c:pt idx="17">
                  <c:v>5.6666666666666664E-2</c:v>
                </c:pt>
                <c:pt idx="18">
                  <c:v>6.2638888888888883E-2</c:v>
                </c:pt>
                <c:pt idx="19">
                  <c:v>6.9027777777777771E-2</c:v>
                </c:pt>
                <c:pt idx="20">
                  <c:v>7.6249999999999998E-2</c:v>
                </c:pt>
                <c:pt idx="21">
                  <c:v>8.4166666666666667E-2</c:v>
                </c:pt>
                <c:pt idx="22">
                  <c:v>9.2916666666666675E-2</c:v>
                </c:pt>
                <c:pt idx="23">
                  <c:v>0.10250000000000001</c:v>
                </c:pt>
                <c:pt idx="24">
                  <c:v>0.11305555555555555</c:v>
                </c:pt>
                <c:pt idx="25">
                  <c:v>0.1248611111111111</c:v>
                </c:pt>
                <c:pt idx="26">
                  <c:v>0.1377777777777778</c:v>
                </c:pt>
                <c:pt idx="27">
                  <c:v>0.15194444444444447</c:v>
                </c:pt>
                <c:pt idx="28">
                  <c:v>0.16777777777777778</c:v>
                </c:pt>
                <c:pt idx="29">
                  <c:v>0.18513888888888888</c:v>
                </c:pt>
                <c:pt idx="30">
                  <c:v>0.20430555555555555</c:v>
                </c:pt>
                <c:pt idx="31">
                  <c:v>0.22555555555555556</c:v>
                </c:pt>
                <c:pt idx="32">
                  <c:v>0.24888888888888888</c:v>
                </c:pt>
                <c:pt idx="33">
                  <c:v>0.27472222222222226</c:v>
                </c:pt>
                <c:pt idx="34">
                  <c:v>0.30319444444444443</c:v>
                </c:pt>
                <c:pt idx="35">
                  <c:v>0.3347222222222222</c:v>
                </c:pt>
                <c:pt idx="36">
                  <c:v>0.36944444444444446</c:v>
                </c:pt>
                <c:pt idx="37">
                  <c:v>0.40777777777777774</c:v>
                </c:pt>
                <c:pt idx="38">
                  <c:v>0.45013888888888887</c:v>
                </c:pt>
                <c:pt idx="39">
                  <c:v>0.49694444444444447</c:v>
                </c:pt>
                <c:pt idx="40">
                  <c:v>0.54847222222222214</c:v>
                </c:pt>
                <c:pt idx="41">
                  <c:v>0.60541666666666671</c:v>
                </c:pt>
                <c:pt idx="42">
                  <c:v>0.66833333333333333</c:v>
                </c:pt>
                <c:pt idx="43">
                  <c:v>0.73777777777777775</c:v>
                </c:pt>
                <c:pt idx="44">
                  <c:v>0.81444444444444442</c:v>
                </c:pt>
                <c:pt idx="45">
                  <c:v>0.89902777777777787</c:v>
                </c:pt>
                <c:pt idx="46">
                  <c:v>0.99249999999999994</c:v>
                </c:pt>
                <c:pt idx="47">
                  <c:v>1.0956944444444443</c:v>
                </c:pt>
                <c:pt idx="48">
                  <c:v>1.2095833333333335</c:v>
                </c:pt>
                <c:pt idx="49">
                  <c:v>1.3352777777777776</c:v>
                </c:pt>
                <c:pt idx="50">
                  <c:v>1.4741666666666666</c:v>
                </c:pt>
                <c:pt idx="51">
                  <c:v>1.627361111111111</c:v>
                </c:pt>
                <c:pt idx="52">
                  <c:v>1.7966666666666666</c:v>
                </c:pt>
                <c:pt idx="53">
                  <c:v>1.9834722222222223</c:v>
                </c:pt>
                <c:pt idx="54">
                  <c:v>2.1897222222222221</c:v>
                </c:pt>
                <c:pt idx="55">
                  <c:v>2.4175</c:v>
                </c:pt>
                <c:pt idx="56">
                  <c:v>2.6688888888888886</c:v>
                </c:pt>
                <c:pt idx="57">
                  <c:v>2.9465277777777774</c:v>
                </c:pt>
                <c:pt idx="58">
                  <c:v>3.2530555555555556</c:v>
                </c:pt>
                <c:pt idx="59">
                  <c:v>3.5913888888888885</c:v>
                </c:pt>
                <c:pt idx="60">
                  <c:v>3.9651388888888888</c:v>
                </c:pt>
                <c:pt idx="61">
                  <c:v>4.3776388888888897</c:v>
                </c:pt>
                <c:pt idx="62">
                  <c:v>4.8330555555555561</c:v>
                </c:pt>
                <c:pt idx="63">
                  <c:v>5.3358333333333325</c:v>
                </c:pt>
                <c:pt idx="64">
                  <c:v>5.891111111111111</c:v>
                </c:pt>
                <c:pt idx="65">
                  <c:v>6.504027777777778</c:v>
                </c:pt>
                <c:pt idx="66">
                  <c:v>7.1808333333333341</c:v>
                </c:pt>
                <c:pt idx="67">
                  <c:v>7.9280555555555559</c:v>
                </c:pt>
                <c:pt idx="68">
                  <c:v>8.7530555555555551</c:v>
                </c:pt>
                <c:pt idx="69">
                  <c:v>9.6638888888888896</c:v>
                </c:pt>
                <c:pt idx="70">
                  <c:v>10.669583333333332</c:v>
                </c:pt>
                <c:pt idx="71">
                  <c:v>11.77986111111111</c:v>
                </c:pt>
                <c:pt idx="72">
                  <c:v>13.005694444444446</c:v>
                </c:pt>
                <c:pt idx="73">
                  <c:v>14.359305555555554</c:v>
                </c:pt>
                <c:pt idx="74">
                  <c:v>15.853611111111112</c:v>
                </c:pt>
                <c:pt idx="75">
                  <c:v>17.503611111111113</c:v>
                </c:pt>
                <c:pt idx="76">
                  <c:v>19.32513888888889</c:v>
                </c:pt>
                <c:pt idx="77">
                  <c:v>21.336527777777778</c:v>
                </c:pt>
                <c:pt idx="78">
                  <c:v>23.557083333333331</c:v>
                </c:pt>
                <c:pt idx="79">
                  <c:v>26.008888888888887</c:v>
                </c:pt>
                <c:pt idx="80">
                  <c:v>28.715833333333332</c:v>
                </c:pt>
                <c:pt idx="81">
                  <c:v>31.704583333333336</c:v>
                </c:pt>
                <c:pt idx="82">
                  <c:v>35.004305555555554</c:v>
                </c:pt>
                <c:pt idx="83">
                  <c:v>38.647638888888885</c:v>
                </c:pt>
                <c:pt idx="84">
                  <c:v>42.670138888888893</c:v>
                </c:pt>
                <c:pt idx="85">
                  <c:v>47.111250000000005</c:v>
                </c:pt>
                <c:pt idx="86">
                  <c:v>52.014722222222218</c:v>
                </c:pt>
                <c:pt idx="87">
                  <c:v>57.42861111111111</c:v>
                </c:pt>
                <c:pt idx="88">
                  <c:v>63.405972222222218</c:v>
                </c:pt>
                <c:pt idx="89">
                  <c:v>70.005555555555546</c:v>
                </c:pt>
                <c:pt idx="90">
                  <c:v>77.292083333333323</c:v>
                </c:pt>
                <c:pt idx="91">
                  <c:v>85.337083333333339</c:v>
                </c:pt>
                <c:pt idx="92">
                  <c:v>94.219444444444449</c:v>
                </c:pt>
                <c:pt idx="93">
                  <c:v>104.02624999999999</c:v>
                </c:pt>
                <c:pt idx="94">
                  <c:v>114.85402777777777</c:v>
                </c:pt>
                <c:pt idx="95">
                  <c:v>126.80874999999999</c:v>
                </c:pt>
                <c:pt idx="96">
                  <c:v>140.00777777777779</c:v>
                </c:pt>
                <c:pt idx="97">
                  <c:v>154.58083333333335</c:v>
                </c:pt>
                <c:pt idx="98">
                  <c:v>170.67069444444445</c:v>
                </c:pt>
                <c:pt idx="99">
                  <c:v>188.43527777777777</c:v>
                </c:pt>
                <c:pt idx="100">
                  <c:v>1998.8118055555556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FCE-B637-7DDC3248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34384"/>
        <c:axId val="49937264"/>
      </c:lineChart>
      <c:catAx>
        <c:axId val="49934384"/>
        <c:scaling>
          <c:orientation val="minMax"/>
        </c:scaling>
        <c:delete val="0"/>
        <c:axPos val="b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37264"/>
        <c:crosses val="autoZero"/>
        <c:auto val="1"/>
        <c:lblAlgn val="ctr"/>
        <c:lblOffset val="100"/>
        <c:noMultiLvlLbl val="0"/>
      </c:catAx>
      <c:valAx>
        <c:axId val="499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3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232521</xdr:colOff>
      <xdr:row>0</xdr:row>
      <xdr:rowOff>129987</xdr:rowOff>
    </xdr:from>
    <xdr:to>
      <xdr:col>15</xdr:col>
      <xdr:colOff>254932</xdr:colOff>
      <xdr:row>16</xdr:row>
      <xdr:rowOff>94128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6DB0F47-DB69-B1B4-91B6-2F5641914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193301</xdr:colOff>
      <xdr:row>17</xdr:row>
      <xdr:rowOff>135590</xdr:rowOff>
    </xdr:from>
    <xdr:to>
      <xdr:col>15</xdr:col>
      <xdr:colOff>215713</xdr:colOff>
      <xdr:row>33</xdr:row>
      <xdr:rowOff>99732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876AC9-82BA-FA1C-77E8-97D1A7CC9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413816</xdr:colOff>
      <xdr:row>1</xdr:row>
      <xdr:rowOff>4321</xdr:rowOff>
    </xdr:from>
    <xdr:to>
      <xdr:col>22</xdr:col>
      <xdr:colOff>465044</xdr:colOff>
      <xdr:row>16</xdr:row>
      <xdr:rowOff>142154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F451C8-4820-1FD2-22D7-16BC76318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CED602-6D7D-4E78-9F7F-493B42B04DD4}" name="表2" displayName="表2" ref="A1:H102" totalsRowCount="1" dataDxfId="16">
  <autoFilter ref="A1:H101" xr:uid="{0ECED602-6D7D-4E78-9F7F-493B42B04DD4}"/>
  <tableColumns count="8">
    <tableColumn id="1" xr3:uid="{BAC2A36E-8B63-4F6A-B527-8CB065DF5DC2}" name="level" dataDxfId="15" totalsRowDxfId="8"/>
    <tableColumn id="2" xr3:uid="{8772D7E3-B15E-4CE4-BA38-FECF705E987E}" name="tier" dataDxfId="14" totalsRowDxfId="7">
      <calculatedColumnFormula>MIN(8,INT((A2-1)/10)+1)</calculatedColumnFormula>
    </tableColumn>
    <tableColumn id="3" xr3:uid="{685698E7-0DAF-4162-A0FF-681DDC1E4B04}" name="action_duration" dataDxfId="9" totalsRowDxfId="6">
      <calculatedColumnFormula array="1">_xlfn.SWITCH(B2,1,3,2,4,3,5,4,6,5,9,6,8,7,10,8,12)</calculatedColumnFormula>
    </tableColumn>
    <tableColumn id="4" xr3:uid="{89BCF01B-3743-412C-975E-5CFD8B42FC03}" name="getXp" dataDxfId="0" totalsRowDxfId="5">
      <calculatedColumnFormula>C2*2</calculatedColumnFormula>
    </tableColumn>
    <tableColumn id="5" xr3:uid="{54DFF47A-CA3D-4235-B375-C017C429CBF4}" name="multiplier" dataDxfId="13" totalsRowDxfId="4">
      <calculatedColumnFormula>1</calculatedColumnFormula>
    </tableColumn>
    <tableColumn id="6" xr3:uid="{AF12A6D7-6495-4487-9A83-D4F218867994}" name="XP_needed" dataDxfId="12" totalsRowDxfId="3">
      <calculatedColumnFormula>INT(0.3*((A2-1)+250*POWER(2,(A2-1)/7)))</calculatedColumnFormula>
    </tableColumn>
    <tableColumn id="7" xr3:uid="{3654DE47-D885-4962-868B-B70AC2D096C0}" name="time_min" dataDxfId="11" totalsRowDxfId="2">
      <calculatedColumnFormula>((F2 / (D2 * E2)) * C2)/60</calculatedColumnFormula>
    </tableColumn>
    <tableColumn id="8" xr3:uid="{E5E327C0-343C-489A-8B67-620B49114560}" name="time_hour" totalsRowFunction="sum" dataDxfId="10" totalsRowDxfId="1">
      <calculatedColumnFormula>G2/60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942E-ED75-4845-942C-9CD3298188A3}">
  <dimension ref="A1:H102"/>
  <sheetViews>
    <sheetView tabSelected="1" zoomScale="85" zoomScaleNormal="85" workbookViewId="0">
      <selection activeCell="D2" sqref="D2"/>
    </sheetView>
  </sheetViews>
  <sheetFormatPr defaultRowHeight="13.9" x14ac:dyDescent="0.4"/>
  <cols>
    <col min="1" max="1" width="13.46484375" customWidth="1"/>
    <col min="2" max="2" width="15.9296875" customWidth="1"/>
    <col min="3" max="3" width="16.53125" customWidth="1"/>
    <col min="4" max="4" width="12.9296875" customWidth="1"/>
    <col min="5" max="5" width="11.86328125" customWidth="1"/>
    <col min="6" max="6" width="22.265625" style="3" customWidth="1"/>
    <col min="7" max="7" width="17.33203125" style="1" customWidth="1"/>
    <col min="8" max="8" width="14.265625" style="1" customWidth="1"/>
  </cols>
  <sheetData>
    <row r="1" spans="1:8" x14ac:dyDescent="0.4">
      <c r="A1" t="s">
        <v>4</v>
      </c>
      <c r="B1" t="s">
        <v>0</v>
      </c>
      <c r="C1" t="s">
        <v>2</v>
      </c>
      <c r="D1" t="s">
        <v>3</v>
      </c>
      <c r="E1" t="s">
        <v>1</v>
      </c>
      <c r="F1" s="2" t="s">
        <v>5</v>
      </c>
      <c r="G1" t="s">
        <v>6</v>
      </c>
      <c r="H1" t="s">
        <v>7</v>
      </c>
    </row>
    <row r="2" spans="1:8" ht="15.4" x14ac:dyDescent="0.55000000000000004">
      <c r="A2" s="4">
        <v>1</v>
      </c>
      <c r="B2" s="5">
        <f t="shared" ref="B2:B33" si="0">MIN(8,INT((A2-1)/10)+1)</f>
        <v>1</v>
      </c>
      <c r="C2" s="5" cm="1">
        <f t="array" ref="C2">_xlfn.SWITCH(B2,1,3,2,4,3,5,4,6,5,9,6,8,7,10,8,12)</f>
        <v>3</v>
      </c>
      <c r="D2" s="5">
        <f t="shared" ref="D2:D33" si="1">C2*2</f>
        <v>6</v>
      </c>
      <c r="E2" s="5">
        <f>1</f>
        <v>1</v>
      </c>
      <c r="F2" s="6">
        <f>INT(0.3*((A2-1)+250*POWER(2,(A2-1)/7)))</f>
        <v>75</v>
      </c>
      <c r="G2" s="7">
        <f>((F2 / (D2 * E2)) * C2)/60</f>
        <v>0.625</v>
      </c>
      <c r="H2" s="7">
        <f>G2/60</f>
        <v>1.0416666666666666E-2</v>
      </c>
    </row>
    <row r="3" spans="1:8" ht="15.4" x14ac:dyDescent="0.55000000000000004">
      <c r="A3" s="4">
        <v>2</v>
      </c>
      <c r="B3" s="5">
        <f t="shared" si="0"/>
        <v>1</v>
      </c>
      <c r="C3" s="5" cm="1">
        <f t="array" ref="C3">_xlfn.SWITCH(B3,1,3,2,4,3,5,4,6,5,9,6,8,7,10,8,12)</f>
        <v>3</v>
      </c>
      <c r="D3" s="5">
        <f t="shared" si="1"/>
        <v>6</v>
      </c>
      <c r="E3" s="5">
        <f>1</f>
        <v>1</v>
      </c>
      <c r="F3" s="6">
        <f t="shared" ref="F2:F33" si="2">INT(0.3*((A3-1)+250*POWER(2,(A3-1)/7)))</f>
        <v>83</v>
      </c>
      <c r="G3" s="7">
        <f t="shared" ref="G3:G20" si="3">((F3 / (D3 * E3)) * C3)/60</f>
        <v>0.69166666666666665</v>
      </c>
      <c r="H3" s="7">
        <f t="shared" ref="H3:H50" si="4">G3/60</f>
        <v>1.1527777777777777E-2</v>
      </c>
    </row>
    <row r="4" spans="1:8" ht="15.4" x14ac:dyDescent="0.55000000000000004">
      <c r="A4" s="4">
        <v>3</v>
      </c>
      <c r="B4" s="5">
        <f t="shared" si="0"/>
        <v>1</v>
      </c>
      <c r="C4" s="5" cm="1">
        <f t="array" ref="C4">_xlfn.SWITCH(B4,1,3,2,4,3,5,4,6,5,9,6,8,7,10,8,12)</f>
        <v>3</v>
      </c>
      <c r="D4" s="5">
        <f t="shared" si="1"/>
        <v>6</v>
      </c>
      <c r="E4" s="5">
        <f>1</f>
        <v>1</v>
      </c>
      <c r="F4" s="6">
        <f t="shared" si="2"/>
        <v>92</v>
      </c>
      <c r="G4" s="7">
        <f t="shared" si="3"/>
        <v>0.76666666666666672</v>
      </c>
      <c r="H4" s="7">
        <f t="shared" si="4"/>
        <v>1.2777777777777779E-2</v>
      </c>
    </row>
    <row r="5" spans="1:8" ht="15.4" x14ac:dyDescent="0.55000000000000004">
      <c r="A5" s="4">
        <v>4</v>
      </c>
      <c r="B5" s="5">
        <f t="shared" si="0"/>
        <v>1</v>
      </c>
      <c r="C5" s="5" cm="1">
        <f t="array" ref="C5">_xlfn.SWITCH(B5,1,3,2,4,3,5,4,6,5,9,6,8,7,10,8,12)</f>
        <v>3</v>
      </c>
      <c r="D5" s="5">
        <f t="shared" si="1"/>
        <v>6</v>
      </c>
      <c r="E5" s="5">
        <f>1</f>
        <v>1</v>
      </c>
      <c r="F5" s="6">
        <f t="shared" si="2"/>
        <v>101</v>
      </c>
      <c r="G5" s="7">
        <f t="shared" si="3"/>
        <v>0.84166666666666667</v>
      </c>
      <c r="H5" s="7">
        <f t="shared" si="4"/>
        <v>1.4027777777777778E-2</v>
      </c>
    </row>
    <row r="6" spans="1:8" ht="15.4" x14ac:dyDescent="0.55000000000000004">
      <c r="A6" s="4">
        <v>5</v>
      </c>
      <c r="B6" s="5">
        <f t="shared" si="0"/>
        <v>1</v>
      </c>
      <c r="C6" s="5" cm="1">
        <f t="array" ref="C6">_xlfn.SWITCH(B6,1,3,2,4,3,5,4,6,5,9,6,8,7,10,8,12)</f>
        <v>3</v>
      </c>
      <c r="D6" s="5">
        <f t="shared" si="1"/>
        <v>6</v>
      </c>
      <c r="E6" s="5">
        <f>1</f>
        <v>1</v>
      </c>
      <c r="F6" s="6">
        <f t="shared" si="2"/>
        <v>112</v>
      </c>
      <c r="G6" s="7">
        <f t="shared" si="3"/>
        <v>0.93333333333333335</v>
      </c>
      <c r="H6" s="7">
        <f t="shared" si="4"/>
        <v>1.5555555555555555E-2</v>
      </c>
    </row>
    <row r="7" spans="1:8" ht="15.4" x14ac:dyDescent="0.55000000000000004">
      <c r="A7" s="4">
        <v>6</v>
      </c>
      <c r="B7" s="5">
        <f t="shared" si="0"/>
        <v>1</v>
      </c>
      <c r="C7" s="5" cm="1">
        <f t="array" ref="C7">_xlfn.SWITCH(B7,1,3,2,4,3,5,4,6,5,9,6,8,7,10,8,12)</f>
        <v>3</v>
      </c>
      <c r="D7" s="5">
        <f t="shared" si="1"/>
        <v>6</v>
      </c>
      <c r="E7" s="5">
        <f>1</f>
        <v>1</v>
      </c>
      <c r="F7" s="6">
        <f t="shared" si="2"/>
        <v>124</v>
      </c>
      <c r="G7" s="7">
        <f t="shared" si="3"/>
        <v>1.0333333333333334</v>
      </c>
      <c r="H7" s="7">
        <f t="shared" si="4"/>
        <v>1.7222222222222226E-2</v>
      </c>
    </row>
    <row r="8" spans="1:8" ht="15.4" x14ac:dyDescent="0.55000000000000004">
      <c r="A8" s="4">
        <v>7</v>
      </c>
      <c r="B8" s="5">
        <f t="shared" si="0"/>
        <v>1</v>
      </c>
      <c r="C8" s="5" cm="1">
        <f t="array" ref="C8">_xlfn.SWITCH(B8,1,3,2,4,3,5,4,6,5,9,6,8,7,10,8,12)</f>
        <v>3</v>
      </c>
      <c r="D8" s="5">
        <f t="shared" si="1"/>
        <v>6</v>
      </c>
      <c r="E8" s="5">
        <f>1</f>
        <v>1</v>
      </c>
      <c r="F8" s="6">
        <f t="shared" si="2"/>
        <v>137</v>
      </c>
      <c r="G8" s="7">
        <f t="shared" si="3"/>
        <v>1.1416666666666666</v>
      </c>
      <c r="H8" s="7">
        <f t="shared" si="4"/>
        <v>1.9027777777777775E-2</v>
      </c>
    </row>
    <row r="9" spans="1:8" ht="15.4" x14ac:dyDescent="0.55000000000000004">
      <c r="A9" s="4">
        <v>8</v>
      </c>
      <c r="B9" s="5">
        <f t="shared" si="0"/>
        <v>1</v>
      </c>
      <c r="C9" s="5" cm="1">
        <f t="array" ref="C9">_xlfn.SWITCH(B9,1,3,2,4,3,5,4,6,5,9,6,8,7,10,8,12)</f>
        <v>3</v>
      </c>
      <c r="D9" s="5">
        <f t="shared" si="1"/>
        <v>6</v>
      </c>
      <c r="E9" s="5">
        <f>1</f>
        <v>1</v>
      </c>
      <c r="F9" s="6">
        <f t="shared" si="2"/>
        <v>152</v>
      </c>
      <c r="G9" s="7">
        <f t="shared" si="3"/>
        <v>1.2666666666666666</v>
      </c>
      <c r="H9" s="7">
        <f t="shared" si="4"/>
        <v>2.1111111111111112E-2</v>
      </c>
    </row>
    <row r="10" spans="1:8" ht="15.4" x14ac:dyDescent="0.55000000000000004">
      <c r="A10" s="4">
        <v>9</v>
      </c>
      <c r="B10" s="5">
        <f t="shared" si="0"/>
        <v>1</v>
      </c>
      <c r="C10" s="5" cm="1">
        <f t="array" ref="C10">_xlfn.SWITCH(B10,1,3,2,4,3,5,4,6,5,9,6,8,7,10,8,12)</f>
        <v>3</v>
      </c>
      <c r="D10" s="5">
        <f t="shared" si="1"/>
        <v>6</v>
      </c>
      <c r="E10" s="5">
        <f>1</f>
        <v>1</v>
      </c>
      <c r="F10" s="6">
        <f t="shared" si="2"/>
        <v>168</v>
      </c>
      <c r="G10" s="7">
        <f t="shared" si="3"/>
        <v>1.4</v>
      </c>
      <c r="H10" s="7">
        <f t="shared" si="4"/>
        <v>2.3333333333333331E-2</v>
      </c>
    </row>
    <row r="11" spans="1:8" ht="15.4" x14ac:dyDescent="0.55000000000000004">
      <c r="A11" s="4">
        <v>10</v>
      </c>
      <c r="B11" s="5">
        <f t="shared" si="0"/>
        <v>1</v>
      </c>
      <c r="C11" s="5" cm="1">
        <f t="array" ref="C11">_xlfn.SWITCH(B11,1,3,2,4,3,5,4,6,5,9,6,8,7,10,8,12)</f>
        <v>3</v>
      </c>
      <c r="D11" s="5">
        <f t="shared" si="1"/>
        <v>6</v>
      </c>
      <c r="E11" s="5">
        <f>1</f>
        <v>1</v>
      </c>
      <c r="F11" s="6">
        <f t="shared" si="2"/>
        <v>185</v>
      </c>
      <c r="G11" s="7">
        <f t="shared" si="3"/>
        <v>1.5416666666666667</v>
      </c>
      <c r="H11" s="7">
        <f t="shared" si="4"/>
        <v>2.5694444444444447E-2</v>
      </c>
    </row>
    <row r="12" spans="1:8" ht="15.4" x14ac:dyDescent="0.55000000000000004">
      <c r="A12" s="4">
        <v>11</v>
      </c>
      <c r="B12" s="5">
        <f t="shared" si="0"/>
        <v>2</v>
      </c>
      <c r="C12" s="5" cm="1">
        <f t="array" ref="C12">_xlfn.SWITCH(B12,1,3,2,4,3,5,4,6,5,9,6,8,7,10,8,12)</f>
        <v>4</v>
      </c>
      <c r="D12" s="5">
        <f t="shared" si="1"/>
        <v>8</v>
      </c>
      <c r="E12" s="5">
        <f>1</f>
        <v>1</v>
      </c>
      <c r="F12" s="6">
        <f t="shared" si="2"/>
        <v>204</v>
      </c>
      <c r="G12" s="7">
        <f t="shared" si="3"/>
        <v>1.7</v>
      </c>
      <c r="H12" s="7">
        <f t="shared" si="4"/>
        <v>2.8333333333333332E-2</v>
      </c>
    </row>
    <row r="13" spans="1:8" ht="15.4" x14ac:dyDescent="0.55000000000000004">
      <c r="A13" s="4">
        <v>12</v>
      </c>
      <c r="B13" s="5">
        <f t="shared" si="0"/>
        <v>2</v>
      </c>
      <c r="C13" s="5" cm="1">
        <f t="array" ref="C13">_xlfn.SWITCH(B13,1,3,2,4,3,5,4,6,5,9,6,8,7,10,8,12)</f>
        <v>4</v>
      </c>
      <c r="D13" s="5">
        <f t="shared" si="1"/>
        <v>8</v>
      </c>
      <c r="E13" s="5">
        <f>1</f>
        <v>1</v>
      </c>
      <c r="F13" s="6">
        <f t="shared" si="2"/>
        <v>226</v>
      </c>
      <c r="G13" s="7">
        <f t="shared" si="3"/>
        <v>1.8833333333333333</v>
      </c>
      <c r="H13" s="7">
        <f t="shared" si="4"/>
        <v>3.138888888888889E-2</v>
      </c>
    </row>
    <row r="14" spans="1:8" ht="15.4" x14ac:dyDescent="0.55000000000000004">
      <c r="A14" s="4">
        <v>13</v>
      </c>
      <c r="B14" s="5">
        <f t="shared" si="0"/>
        <v>2</v>
      </c>
      <c r="C14" s="5" cm="1">
        <f t="array" ref="C14">_xlfn.SWITCH(B14,1,3,2,4,3,5,4,6,5,9,6,8,7,10,8,12)</f>
        <v>4</v>
      </c>
      <c r="D14" s="5">
        <f t="shared" si="1"/>
        <v>8</v>
      </c>
      <c r="E14" s="5">
        <f>1</f>
        <v>1</v>
      </c>
      <c r="F14" s="6">
        <f t="shared" si="2"/>
        <v>249</v>
      </c>
      <c r="G14" s="7">
        <f t="shared" si="3"/>
        <v>2.0750000000000002</v>
      </c>
      <c r="H14" s="7">
        <f t="shared" si="4"/>
        <v>3.4583333333333334E-2</v>
      </c>
    </row>
    <row r="15" spans="1:8" ht="15.4" x14ac:dyDescent="0.55000000000000004">
      <c r="A15" s="4">
        <v>14</v>
      </c>
      <c r="B15" s="5">
        <f t="shared" si="0"/>
        <v>2</v>
      </c>
      <c r="C15" s="5" cm="1">
        <f t="array" ref="C15">_xlfn.SWITCH(B15,1,3,2,4,3,5,4,6,5,9,6,8,7,10,8,12)</f>
        <v>4</v>
      </c>
      <c r="D15" s="5">
        <f t="shared" si="1"/>
        <v>8</v>
      </c>
      <c r="E15" s="5">
        <f>1</f>
        <v>1</v>
      </c>
      <c r="F15" s="6">
        <f t="shared" si="2"/>
        <v>275</v>
      </c>
      <c r="G15" s="7">
        <f t="shared" si="3"/>
        <v>2.2916666666666665</v>
      </c>
      <c r="H15" s="7">
        <f t="shared" si="4"/>
        <v>3.8194444444444441E-2</v>
      </c>
    </row>
    <row r="16" spans="1:8" ht="15.4" x14ac:dyDescent="0.55000000000000004">
      <c r="A16" s="4">
        <v>15</v>
      </c>
      <c r="B16" s="5">
        <f t="shared" si="0"/>
        <v>2</v>
      </c>
      <c r="C16" s="5" cm="1">
        <f t="array" ref="C16">_xlfn.SWITCH(B16,1,3,2,4,3,5,4,6,5,9,6,8,7,10,8,12)</f>
        <v>4</v>
      </c>
      <c r="D16" s="5">
        <f t="shared" si="1"/>
        <v>8</v>
      </c>
      <c r="E16" s="5">
        <f>1</f>
        <v>1</v>
      </c>
      <c r="F16" s="6">
        <f t="shared" si="2"/>
        <v>304</v>
      </c>
      <c r="G16" s="7">
        <f t="shared" si="3"/>
        <v>2.5333333333333332</v>
      </c>
      <c r="H16" s="7">
        <f t="shared" si="4"/>
        <v>4.2222222222222223E-2</v>
      </c>
    </row>
    <row r="17" spans="1:8" ht="15.4" x14ac:dyDescent="0.55000000000000004">
      <c r="A17" s="4">
        <v>16</v>
      </c>
      <c r="B17" s="5">
        <f t="shared" si="0"/>
        <v>2</v>
      </c>
      <c r="C17" s="5" cm="1">
        <f t="array" ref="C17">_xlfn.SWITCH(B17,1,3,2,4,3,5,4,6,5,9,6,8,7,10,8,12)</f>
        <v>4</v>
      </c>
      <c r="D17" s="5">
        <f t="shared" si="1"/>
        <v>8</v>
      </c>
      <c r="E17" s="5">
        <f>1</f>
        <v>1</v>
      </c>
      <c r="F17" s="6">
        <f t="shared" si="2"/>
        <v>335</v>
      </c>
      <c r="G17" s="7">
        <f t="shared" si="3"/>
        <v>2.7916666666666665</v>
      </c>
      <c r="H17" s="7">
        <f t="shared" si="4"/>
        <v>4.6527777777777772E-2</v>
      </c>
    </row>
    <row r="18" spans="1:8" ht="15.4" x14ac:dyDescent="0.55000000000000004">
      <c r="A18" s="4">
        <v>17</v>
      </c>
      <c r="B18" s="5">
        <f t="shared" si="0"/>
        <v>2</v>
      </c>
      <c r="C18" s="5" cm="1">
        <f t="array" ref="C18">_xlfn.SWITCH(B18,1,3,2,4,3,5,4,6,5,9,6,8,7,10,8,12)</f>
        <v>4</v>
      </c>
      <c r="D18" s="5">
        <f t="shared" si="1"/>
        <v>8</v>
      </c>
      <c r="E18" s="5">
        <f>1</f>
        <v>1</v>
      </c>
      <c r="F18" s="6">
        <f t="shared" si="2"/>
        <v>370</v>
      </c>
      <c r="G18" s="7">
        <f t="shared" si="3"/>
        <v>3.0833333333333335</v>
      </c>
      <c r="H18" s="7">
        <f t="shared" si="4"/>
        <v>5.1388888888888894E-2</v>
      </c>
    </row>
    <row r="19" spans="1:8" ht="15.4" x14ac:dyDescent="0.55000000000000004">
      <c r="A19" s="4">
        <v>18</v>
      </c>
      <c r="B19" s="5">
        <f t="shared" si="0"/>
        <v>2</v>
      </c>
      <c r="C19" s="5" cm="1">
        <f t="array" ref="C19">_xlfn.SWITCH(B19,1,3,2,4,3,5,4,6,5,9,6,8,7,10,8,12)</f>
        <v>4</v>
      </c>
      <c r="D19" s="5">
        <f t="shared" si="1"/>
        <v>8</v>
      </c>
      <c r="E19" s="5">
        <f>1</f>
        <v>1</v>
      </c>
      <c r="F19" s="6">
        <f t="shared" si="2"/>
        <v>408</v>
      </c>
      <c r="G19" s="7">
        <f t="shared" si="3"/>
        <v>3.4</v>
      </c>
      <c r="H19" s="7">
        <f t="shared" si="4"/>
        <v>5.6666666666666664E-2</v>
      </c>
    </row>
    <row r="20" spans="1:8" ht="15.4" x14ac:dyDescent="0.55000000000000004">
      <c r="A20" s="4">
        <v>19</v>
      </c>
      <c r="B20" s="5">
        <f t="shared" si="0"/>
        <v>2</v>
      </c>
      <c r="C20" s="5" cm="1">
        <f t="array" ref="C20">_xlfn.SWITCH(B20,1,3,2,4,3,5,4,6,5,9,6,8,7,10,8,12)</f>
        <v>4</v>
      </c>
      <c r="D20" s="5">
        <f t="shared" si="1"/>
        <v>8</v>
      </c>
      <c r="E20" s="5">
        <f>1</f>
        <v>1</v>
      </c>
      <c r="F20" s="6">
        <f t="shared" si="2"/>
        <v>451</v>
      </c>
      <c r="G20" s="7">
        <f t="shared" si="3"/>
        <v>3.7583333333333333</v>
      </c>
      <c r="H20" s="7">
        <f t="shared" si="4"/>
        <v>6.2638888888888883E-2</v>
      </c>
    </row>
    <row r="21" spans="1:8" ht="15.4" x14ac:dyDescent="0.55000000000000004">
      <c r="A21" s="4">
        <v>20</v>
      </c>
      <c r="B21" s="5">
        <f t="shared" si="0"/>
        <v>2</v>
      </c>
      <c r="C21" s="5" cm="1">
        <f t="array" ref="C21">_xlfn.SWITCH(B21,1,3,2,4,3,5,4,6,5,9,6,8,7,10,8,12)</f>
        <v>4</v>
      </c>
      <c r="D21" s="5">
        <f t="shared" si="1"/>
        <v>8</v>
      </c>
      <c r="E21" s="5">
        <f>1</f>
        <v>1</v>
      </c>
      <c r="F21" s="6">
        <f t="shared" si="2"/>
        <v>497</v>
      </c>
      <c r="G21" s="7">
        <f t="shared" ref="G21:G50" si="5">((F21 / (D21 * E21)) * C21)/60</f>
        <v>4.1416666666666666</v>
      </c>
      <c r="H21" s="7">
        <f t="shared" si="4"/>
        <v>6.9027777777777771E-2</v>
      </c>
    </row>
    <row r="22" spans="1:8" ht="15.4" x14ac:dyDescent="0.55000000000000004">
      <c r="A22" s="4">
        <v>21</v>
      </c>
      <c r="B22" s="5">
        <f t="shared" si="0"/>
        <v>3</v>
      </c>
      <c r="C22" s="5" cm="1">
        <f t="array" ref="C22">_xlfn.SWITCH(B22,1,3,2,4,3,5,4,6,5,9,6,8,7,10,8,12)</f>
        <v>5</v>
      </c>
      <c r="D22" s="5">
        <f t="shared" si="1"/>
        <v>10</v>
      </c>
      <c r="E22" s="5">
        <f>1</f>
        <v>1</v>
      </c>
      <c r="F22" s="6">
        <f t="shared" si="2"/>
        <v>549</v>
      </c>
      <c r="G22" s="7">
        <f t="shared" si="5"/>
        <v>4.5750000000000002</v>
      </c>
      <c r="H22" s="7">
        <f t="shared" si="4"/>
        <v>7.6249999999999998E-2</v>
      </c>
    </row>
    <row r="23" spans="1:8" ht="15.4" x14ac:dyDescent="0.55000000000000004">
      <c r="A23" s="4">
        <v>22</v>
      </c>
      <c r="B23" s="5">
        <f t="shared" si="0"/>
        <v>3</v>
      </c>
      <c r="C23" s="5" cm="1">
        <f t="array" ref="C23">_xlfn.SWITCH(B23,1,3,2,4,3,5,4,6,5,9,6,8,7,10,8,12)</f>
        <v>5</v>
      </c>
      <c r="D23" s="5">
        <f t="shared" si="1"/>
        <v>10</v>
      </c>
      <c r="E23" s="5">
        <f>1</f>
        <v>1</v>
      </c>
      <c r="F23" s="6">
        <f t="shared" si="2"/>
        <v>606</v>
      </c>
      <c r="G23" s="7">
        <f t="shared" si="5"/>
        <v>5.05</v>
      </c>
      <c r="H23" s="7">
        <f t="shared" si="4"/>
        <v>8.4166666666666667E-2</v>
      </c>
    </row>
    <row r="24" spans="1:8" ht="15.4" x14ac:dyDescent="0.55000000000000004">
      <c r="A24" s="4">
        <v>23</v>
      </c>
      <c r="B24" s="5">
        <f t="shared" si="0"/>
        <v>3</v>
      </c>
      <c r="C24" s="5" cm="1">
        <f t="array" ref="C24">_xlfn.SWITCH(B24,1,3,2,4,3,5,4,6,5,9,6,8,7,10,8,12)</f>
        <v>5</v>
      </c>
      <c r="D24" s="5">
        <f t="shared" si="1"/>
        <v>10</v>
      </c>
      <c r="E24" s="5">
        <f>1</f>
        <v>1</v>
      </c>
      <c r="F24" s="6">
        <f t="shared" si="2"/>
        <v>669</v>
      </c>
      <c r="G24" s="7">
        <f t="shared" si="5"/>
        <v>5.5750000000000002</v>
      </c>
      <c r="H24" s="7">
        <f t="shared" si="4"/>
        <v>9.2916666666666675E-2</v>
      </c>
    </row>
    <row r="25" spans="1:8" ht="15.4" x14ac:dyDescent="0.55000000000000004">
      <c r="A25" s="4">
        <v>24</v>
      </c>
      <c r="B25" s="5">
        <f t="shared" si="0"/>
        <v>3</v>
      </c>
      <c r="C25" s="5" cm="1">
        <f t="array" ref="C25">_xlfn.SWITCH(B25,1,3,2,4,3,5,4,6,5,9,6,8,7,10,8,12)</f>
        <v>5</v>
      </c>
      <c r="D25" s="5">
        <f t="shared" si="1"/>
        <v>10</v>
      </c>
      <c r="E25" s="5">
        <f>1</f>
        <v>1</v>
      </c>
      <c r="F25" s="6">
        <f t="shared" si="2"/>
        <v>738</v>
      </c>
      <c r="G25" s="7">
        <f t="shared" si="5"/>
        <v>6.15</v>
      </c>
      <c r="H25" s="7">
        <f t="shared" si="4"/>
        <v>0.10250000000000001</v>
      </c>
    </row>
    <row r="26" spans="1:8" ht="15.4" x14ac:dyDescent="0.55000000000000004">
      <c r="A26" s="4">
        <v>25</v>
      </c>
      <c r="B26" s="5">
        <f t="shared" si="0"/>
        <v>3</v>
      </c>
      <c r="C26" s="5" cm="1">
        <f t="array" ref="C26">_xlfn.SWITCH(B26,1,3,2,4,3,5,4,6,5,9,6,8,7,10,8,12)</f>
        <v>5</v>
      </c>
      <c r="D26" s="5">
        <f t="shared" si="1"/>
        <v>10</v>
      </c>
      <c r="E26" s="5">
        <f>1</f>
        <v>1</v>
      </c>
      <c r="F26" s="6">
        <f t="shared" si="2"/>
        <v>814</v>
      </c>
      <c r="G26" s="7">
        <f t="shared" si="5"/>
        <v>6.7833333333333332</v>
      </c>
      <c r="H26" s="7">
        <f t="shared" si="4"/>
        <v>0.11305555555555555</v>
      </c>
    </row>
    <row r="27" spans="1:8" ht="15.4" x14ac:dyDescent="0.55000000000000004">
      <c r="A27" s="4">
        <v>26</v>
      </c>
      <c r="B27" s="5">
        <f t="shared" si="0"/>
        <v>3</v>
      </c>
      <c r="C27" s="5" cm="1">
        <f t="array" ref="C27">_xlfn.SWITCH(B27,1,3,2,4,3,5,4,6,5,9,6,8,7,10,8,12)</f>
        <v>5</v>
      </c>
      <c r="D27" s="5">
        <f t="shared" si="1"/>
        <v>10</v>
      </c>
      <c r="E27" s="5">
        <f>1</f>
        <v>1</v>
      </c>
      <c r="F27" s="6">
        <f t="shared" si="2"/>
        <v>899</v>
      </c>
      <c r="G27" s="7">
        <f t="shared" si="5"/>
        <v>7.4916666666666663</v>
      </c>
      <c r="H27" s="7">
        <f t="shared" si="4"/>
        <v>0.1248611111111111</v>
      </c>
    </row>
    <row r="28" spans="1:8" ht="15.4" x14ac:dyDescent="0.55000000000000004">
      <c r="A28" s="4">
        <v>27</v>
      </c>
      <c r="B28" s="5">
        <f t="shared" si="0"/>
        <v>3</v>
      </c>
      <c r="C28" s="5" cm="1">
        <f t="array" ref="C28">_xlfn.SWITCH(B28,1,3,2,4,3,5,4,6,5,9,6,8,7,10,8,12)</f>
        <v>5</v>
      </c>
      <c r="D28" s="5">
        <f t="shared" si="1"/>
        <v>10</v>
      </c>
      <c r="E28" s="5">
        <f>1</f>
        <v>1</v>
      </c>
      <c r="F28" s="6">
        <f t="shared" si="2"/>
        <v>992</v>
      </c>
      <c r="G28" s="7">
        <f t="shared" si="5"/>
        <v>8.2666666666666675</v>
      </c>
      <c r="H28" s="7">
        <f t="shared" si="4"/>
        <v>0.1377777777777778</v>
      </c>
    </row>
    <row r="29" spans="1:8" ht="15.4" x14ac:dyDescent="0.55000000000000004">
      <c r="A29" s="4">
        <v>28</v>
      </c>
      <c r="B29" s="5">
        <f t="shared" si="0"/>
        <v>3</v>
      </c>
      <c r="C29" s="5" cm="1">
        <f t="array" ref="C29">_xlfn.SWITCH(B29,1,3,2,4,3,5,4,6,5,9,6,8,7,10,8,12)</f>
        <v>5</v>
      </c>
      <c r="D29" s="5">
        <f t="shared" si="1"/>
        <v>10</v>
      </c>
      <c r="E29" s="5">
        <f>1</f>
        <v>1</v>
      </c>
      <c r="F29" s="6">
        <f t="shared" si="2"/>
        <v>1094</v>
      </c>
      <c r="G29" s="7">
        <f t="shared" si="5"/>
        <v>9.1166666666666671</v>
      </c>
      <c r="H29" s="7">
        <f t="shared" si="4"/>
        <v>0.15194444444444447</v>
      </c>
    </row>
    <row r="30" spans="1:8" ht="15.4" x14ac:dyDescent="0.55000000000000004">
      <c r="A30" s="4">
        <v>29</v>
      </c>
      <c r="B30" s="5">
        <f t="shared" si="0"/>
        <v>3</v>
      </c>
      <c r="C30" s="5" cm="1">
        <f t="array" ref="C30">_xlfn.SWITCH(B30,1,3,2,4,3,5,4,6,5,9,6,8,7,10,8,12)</f>
        <v>5</v>
      </c>
      <c r="D30" s="5">
        <f t="shared" si="1"/>
        <v>10</v>
      </c>
      <c r="E30" s="5">
        <f>1</f>
        <v>1</v>
      </c>
      <c r="F30" s="6">
        <f t="shared" si="2"/>
        <v>1208</v>
      </c>
      <c r="G30" s="7">
        <f t="shared" si="5"/>
        <v>10.066666666666666</v>
      </c>
      <c r="H30" s="7">
        <f t="shared" si="4"/>
        <v>0.16777777777777778</v>
      </c>
    </row>
    <row r="31" spans="1:8" ht="15.4" x14ac:dyDescent="0.55000000000000004">
      <c r="A31" s="4">
        <v>30</v>
      </c>
      <c r="B31" s="5">
        <f t="shared" si="0"/>
        <v>3</v>
      </c>
      <c r="C31" s="5" cm="1">
        <f t="array" ref="C31">_xlfn.SWITCH(B31,1,3,2,4,3,5,4,6,5,9,6,8,7,10,8,12)</f>
        <v>5</v>
      </c>
      <c r="D31" s="5">
        <f t="shared" si="1"/>
        <v>10</v>
      </c>
      <c r="E31" s="5">
        <f>1</f>
        <v>1</v>
      </c>
      <c r="F31" s="6">
        <f t="shared" si="2"/>
        <v>1333</v>
      </c>
      <c r="G31" s="7">
        <f t="shared" si="5"/>
        <v>11.108333333333333</v>
      </c>
      <c r="H31" s="7">
        <f t="shared" si="4"/>
        <v>0.18513888888888888</v>
      </c>
    </row>
    <row r="32" spans="1:8" ht="15.4" x14ac:dyDescent="0.55000000000000004">
      <c r="A32" s="4">
        <v>31</v>
      </c>
      <c r="B32" s="5">
        <f t="shared" si="0"/>
        <v>4</v>
      </c>
      <c r="C32" s="5" cm="1">
        <f t="array" ref="C32">_xlfn.SWITCH(B32,1,3,2,4,3,5,4,6,5,9,6,8,7,10,8,12)</f>
        <v>6</v>
      </c>
      <c r="D32" s="5">
        <f t="shared" si="1"/>
        <v>12</v>
      </c>
      <c r="E32" s="5">
        <f>1</f>
        <v>1</v>
      </c>
      <c r="F32" s="6">
        <f t="shared" si="2"/>
        <v>1471</v>
      </c>
      <c r="G32" s="7">
        <f t="shared" si="5"/>
        <v>12.258333333333333</v>
      </c>
      <c r="H32" s="7">
        <f t="shared" si="4"/>
        <v>0.20430555555555555</v>
      </c>
    </row>
    <row r="33" spans="1:8" ht="15.4" x14ac:dyDescent="0.55000000000000004">
      <c r="A33" s="4">
        <v>32</v>
      </c>
      <c r="B33" s="5">
        <f t="shared" si="0"/>
        <v>4</v>
      </c>
      <c r="C33" s="5" cm="1">
        <f t="array" ref="C33">_xlfn.SWITCH(B33,1,3,2,4,3,5,4,6,5,9,6,8,7,10,8,12)</f>
        <v>6</v>
      </c>
      <c r="D33" s="5">
        <f t="shared" si="1"/>
        <v>12</v>
      </c>
      <c r="E33" s="5">
        <f>1</f>
        <v>1</v>
      </c>
      <c r="F33" s="6">
        <f t="shared" si="2"/>
        <v>1624</v>
      </c>
      <c r="G33" s="7">
        <f t="shared" si="5"/>
        <v>13.533333333333333</v>
      </c>
      <c r="H33" s="7">
        <f t="shared" si="4"/>
        <v>0.22555555555555556</v>
      </c>
    </row>
    <row r="34" spans="1:8" ht="15.4" x14ac:dyDescent="0.55000000000000004">
      <c r="A34" s="4">
        <v>33</v>
      </c>
      <c r="B34" s="5">
        <f t="shared" ref="B34:B65" si="6">MIN(8,INT((A34-1)/10)+1)</f>
        <v>4</v>
      </c>
      <c r="C34" s="5" cm="1">
        <f t="array" ref="C34">_xlfn.SWITCH(B34,1,3,2,4,3,5,4,6,5,9,6,8,7,10,8,12)</f>
        <v>6</v>
      </c>
      <c r="D34" s="5">
        <f t="shared" ref="D34:D65" si="7">C34*2</f>
        <v>12</v>
      </c>
      <c r="E34" s="5">
        <f>1</f>
        <v>1</v>
      </c>
      <c r="F34" s="6">
        <f t="shared" ref="F34:F65" si="8">INT(0.3*((A34-1)+250*POWER(2,(A34-1)/7)))</f>
        <v>1792</v>
      </c>
      <c r="G34" s="7">
        <f t="shared" si="5"/>
        <v>14.933333333333334</v>
      </c>
      <c r="H34" s="7">
        <f t="shared" si="4"/>
        <v>0.24888888888888888</v>
      </c>
    </row>
    <row r="35" spans="1:8" ht="15.4" x14ac:dyDescent="0.55000000000000004">
      <c r="A35" s="4">
        <v>34</v>
      </c>
      <c r="B35" s="5">
        <f t="shared" si="6"/>
        <v>4</v>
      </c>
      <c r="C35" s="5" cm="1">
        <f t="array" ref="C35">_xlfn.SWITCH(B35,1,3,2,4,3,5,4,6,5,9,6,8,7,10,8,12)</f>
        <v>6</v>
      </c>
      <c r="D35" s="5">
        <f t="shared" si="7"/>
        <v>12</v>
      </c>
      <c r="E35" s="5">
        <f>1</f>
        <v>1</v>
      </c>
      <c r="F35" s="6">
        <f t="shared" si="8"/>
        <v>1978</v>
      </c>
      <c r="G35" s="7">
        <f t="shared" si="5"/>
        <v>16.483333333333334</v>
      </c>
      <c r="H35" s="7">
        <f t="shared" si="4"/>
        <v>0.27472222222222226</v>
      </c>
    </row>
    <row r="36" spans="1:8" ht="15.4" x14ac:dyDescent="0.55000000000000004">
      <c r="A36" s="4">
        <v>35</v>
      </c>
      <c r="B36" s="5">
        <f t="shared" si="6"/>
        <v>4</v>
      </c>
      <c r="C36" s="5" cm="1">
        <f t="array" ref="C36">_xlfn.SWITCH(B36,1,3,2,4,3,5,4,6,5,9,6,8,7,10,8,12)</f>
        <v>6</v>
      </c>
      <c r="D36" s="5">
        <f t="shared" si="7"/>
        <v>12</v>
      </c>
      <c r="E36" s="5">
        <f>1</f>
        <v>1</v>
      </c>
      <c r="F36" s="6">
        <f t="shared" si="8"/>
        <v>2183</v>
      </c>
      <c r="G36" s="7">
        <f t="shared" si="5"/>
        <v>18.191666666666666</v>
      </c>
      <c r="H36" s="7">
        <f t="shared" si="4"/>
        <v>0.30319444444444443</v>
      </c>
    </row>
    <row r="37" spans="1:8" ht="15.4" x14ac:dyDescent="0.55000000000000004">
      <c r="A37" s="4">
        <v>36</v>
      </c>
      <c r="B37" s="5">
        <f t="shared" si="6"/>
        <v>4</v>
      </c>
      <c r="C37" s="5" cm="1">
        <f t="array" ref="C37">_xlfn.SWITCH(B37,1,3,2,4,3,5,4,6,5,9,6,8,7,10,8,12)</f>
        <v>6</v>
      </c>
      <c r="D37" s="5">
        <f t="shared" si="7"/>
        <v>12</v>
      </c>
      <c r="E37" s="5">
        <f>1</f>
        <v>1</v>
      </c>
      <c r="F37" s="6">
        <f t="shared" si="8"/>
        <v>2410</v>
      </c>
      <c r="G37" s="7">
        <f t="shared" si="5"/>
        <v>20.083333333333332</v>
      </c>
      <c r="H37" s="7">
        <f t="shared" si="4"/>
        <v>0.3347222222222222</v>
      </c>
    </row>
    <row r="38" spans="1:8" ht="15.4" x14ac:dyDescent="0.55000000000000004">
      <c r="A38" s="4">
        <v>37</v>
      </c>
      <c r="B38" s="5">
        <f t="shared" si="6"/>
        <v>4</v>
      </c>
      <c r="C38" s="5" cm="1">
        <f t="array" ref="C38">_xlfn.SWITCH(B38,1,3,2,4,3,5,4,6,5,9,6,8,7,10,8,12)</f>
        <v>6</v>
      </c>
      <c r="D38" s="5">
        <f t="shared" si="7"/>
        <v>12</v>
      </c>
      <c r="E38" s="5">
        <f>1</f>
        <v>1</v>
      </c>
      <c r="F38" s="6">
        <f t="shared" si="8"/>
        <v>2660</v>
      </c>
      <c r="G38" s="7">
        <f t="shared" si="5"/>
        <v>22.166666666666668</v>
      </c>
      <c r="H38" s="7">
        <f t="shared" si="4"/>
        <v>0.36944444444444446</v>
      </c>
    </row>
    <row r="39" spans="1:8" ht="15.4" x14ac:dyDescent="0.55000000000000004">
      <c r="A39" s="4">
        <v>38</v>
      </c>
      <c r="B39" s="5">
        <f t="shared" si="6"/>
        <v>4</v>
      </c>
      <c r="C39" s="5" cm="1">
        <f t="array" ref="C39">_xlfn.SWITCH(B39,1,3,2,4,3,5,4,6,5,9,6,8,7,10,8,12)</f>
        <v>6</v>
      </c>
      <c r="D39" s="5">
        <f t="shared" si="7"/>
        <v>12</v>
      </c>
      <c r="E39" s="5">
        <f>1</f>
        <v>1</v>
      </c>
      <c r="F39" s="6">
        <f t="shared" si="8"/>
        <v>2936</v>
      </c>
      <c r="G39" s="7">
        <f t="shared" si="5"/>
        <v>24.466666666666665</v>
      </c>
      <c r="H39" s="7">
        <f t="shared" si="4"/>
        <v>0.40777777777777774</v>
      </c>
    </row>
    <row r="40" spans="1:8" ht="15.4" x14ac:dyDescent="0.55000000000000004">
      <c r="A40" s="4">
        <v>39</v>
      </c>
      <c r="B40" s="5">
        <f t="shared" si="6"/>
        <v>4</v>
      </c>
      <c r="C40" s="5" cm="1">
        <f t="array" ref="C40">_xlfn.SWITCH(B40,1,3,2,4,3,5,4,6,5,9,6,8,7,10,8,12)</f>
        <v>6</v>
      </c>
      <c r="D40" s="5">
        <f t="shared" si="7"/>
        <v>12</v>
      </c>
      <c r="E40" s="5">
        <f>1</f>
        <v>1</v>
      </c>
      <c r="F40" s="6">
        <f t="shared" si="8"/>
        <v>3241</v>
      </c>
      <c r="G40" s="7">
        <f t="shared" si="5"/>
        <v>27.008333333333333</v>
      </c>
      <c r="H40" s="7">
        <f t="shared" si="4"/>
        <v>0.45013888888888887</v>
      </c>
    </row>
    <row r="41" spans="1:8" ht="15.4" x14ac:dyDescent="0.55000000000000004">
      <c r="A41" s="4">
        <v>40</v>
      </c>
      <c r="B41" s="5">
        <f t="shared" si="6"/>
        <v>4</v>
      </c>
      <c r="C41" s="5" cm="1">
        <f t="array" ref="C41">_xlfn.SWITCH(B41,1,3,2,4,3,5,4,6,5,9,6,8,7,10,8,12)</f>
        <v>6</v>
      </c>
      <c r="D41" s="5">
        <f t="shared" si="7"/>
        <v>12</v>
      </c>
      <c r="E41" s="5">
        <f>1</f>
        <v>1</v>
      </c>
      <c r="F41" s="6">
        <f t="shared" si="8"/>
        <v>3578</v>
      </c>
      <c r="G41" s="7">
        <f t="shared" si="5"/>
        <v>29.816666666666666</v>
      </c>
      <c r="H41" s="7">
        <f t="shared" si="4"/>
        <v>0.49694444444444447</v>
      </c>
    </row>
    <row r="42" spans="1:8" ht="15.4" x14ac:dyDescent="0.55000000000000004">
      <c r="A42" s="4">
        <v>41</v>
      </c>
      <c r="B42" s="5">
        <f t="shared" si="6"/>
        <v>5</v>
      </c>
      <c r="C42" s="5" cm="1">
        <f t="array" ref="C42">_xlfn.SWITCH(B42,1,3,2,4,3,5,4,6,5,9,6,8,7,10,8,12)</f>
        <v>9</v>
      </c>
      <c r="D42" s="5">
        <f t="shared" si="7"/>
        <v>18</v>
      </c>
      <c r="E42" s="5">
        <f>1</f>
        <v>1</v>
      </c>
      <c r="F42" s="6">
        <f t="shared" si="8"/>
        <v>3949</v>
      </c>
      <c r="G42" s="7">
        <f t="shared" si="5"/>
        <v>32.908333333333331</v>
      </c>
      <c r="H42" s="7">
        <f t="shared" si="4"/>
        <v>0.54847222222222214</v>
      </c>
    </row>
    <row r="43" spans="1:8" ht="15.4" x14ac:dyDescent="0.55000000000000004">
      <c r="A43" s="4">
        <v>42</v>
      </c>
      <c r="B43" s="5">
        <f t="shared" si="6"/>
        <v>5</v>
      </c>
      <c r="C43" s="5" cm="1">
        <f t="array" ref="C43">_xlfn.SWITCH(B43,1,3,2,4,3,5,4,6,5,9,6,8,7,10,8,12)</f>
        <v>9</v>
      </c>
      <c r="D43" s="5">
        <f t="shared" si="7"/>
        <v>18</v>
      </c>
      <c r="E43" s="5">
        <f>1</f>
        <v>1</v>
      </c>
      <c r="F43" s="6">
        <f t="shared" si="8"/>
        <v>4359</v>
      </c>
      <c r="G43" s="7">
        <f t="shared" si="5"/>
        <v>36.325000000000003</v>
      </c>
      <c r="H43" s="7">
        <f t="shared" si="4"/>
        <v>0.60541666666666671</v>
      </c>
    </row>
    <row r="44" spans="1:8" ht="15.4" x14ac:dyDescent="0.55000000000000004">
      <c r="A44" s="4">
        <v>43</v>
      </c>
      <c r="B44" s="5">
        <f t="shared" si="6"/>
        <v>5</v>
      </c>
      <c r="C44" s="5" cm="1">
        <f t="array" ref="C44">_xlfn.SWITCH(B44,1,3,2,4,3,5,4,6,5,9,6,8,7,10,8,12)</f>
        <v>9</v>
      </c>
      <c r="D44" s="5">
        <f t="shared" si="7"/>
        <v>18</v>
      </c>
      <c r="E44" s="5">
        <f>1</f>
        <v>1</v>
      </c>
      <c r="F44" s="6">
        <f t="shared" si="8"/>
        <v>4812</v>
      </c>
      <c r="G44" s="7">
        <f t="shared" si="5"/>
        <v>40.1</v>
      </c>
      <c r="H44" s="7">
        <f t="shared" si="4"/>
        <v>0.66833333333333333</v>
      </c>
    </row>
    <row r="45" spans="1:8" ht="15.4" x14ac:dyDescent="0.55000000000000004">
      <c r="A45" s="4">
        <v>44</v>
      </c>
      <c r="B45" s="5">
        <f t="shared" si="6"/>
        <v>5</v>
      </c>
      <c r="C45" s="5" cm="1">
        <f t="array" ref="C45">_xlfn.SWITCH(B45,1,3,2,4,3,5,4,6,5,9,6,8,7,10,8,12)</f>
        <v>9</v>
      </c>
      <c r="D45" s="5">
        <f t="shared" si="7"/>
        <v>18</v>
      </c>
      <c r="E45" s="5">
        <f>1</f>
        <v>1</v>
      </c>
      <c r="F45" s="6">
        <f t="shared" si="8"/>
        <v>5312</v>
      </c>
      <c r="G45" s="7">
        <f t="shared" si="5"/>
        <v>44.266666666666666</v>
      </c>
      <c r="H45" s="7">
        <f t="shared" si="4"/>
        <v>0.73777777777777775</v>
      </c>
    </row>
    <row r="46" spans="1:8" ht="15.4" x14ac:dyDescent="0.55000000000000004">
      <c r="A46" s="4">
        <v>45</v>
      </c>
      <c r="B46" s="5">
        <f t="shared" si="6"/>
        <v>5</v>
      </c>
      <c r="C46" s="5" cm="1">
        <f t="array" ref="C46">_xlfn.SWITCH(B46,1,3,2,4,3,5,4,6,5,9,6,8,7,10,8,12)</f>
        <v>9</v>
      </c>
      <c r="D46" s="5">
        <f t="shared" si="7"/>
        <v>18</v>
      </c>
      <c r="E46" s="5">
        <f>1</f>
        <v>1</v>
      </c>
      <c r="F46" s="6">
        <f t="shared" si="8"/>
        <v>5864</v>
      </c>
      <c r="G46" s="7">
        <f t="shared" si="5"/>
        <v>48.866666666666667</v>
      </c>
      <c r="H46" s="7">
        <f t="shared" si="4"/>
        <v>0.81444444444444442</v>
      </c>
    </row>
    <row r="47" spans="1:8" ht="15.4" x14ac:dyDescent="0.55000000000000004">
      <c r="A47" s="4">
        <v>46</v>
      </c>
      <c r="B47" s="5">
        <f t="shared" si="6"/>
        <v>5</v>
      </c>
      <c r="C47" s="5" cm="1">
        <f t="array" ref="C47">_xlfn.SWITCH(B47,1,3,2,4,3,5,4,6,5,9,6,8,7,10,8,12)</f>
        <v>9</v>
      </c>
      <c r="D47" s="5">
        <f t="shared" si="7"/>
        <v>18</v>
      </c>
      <c r="E47" s="5">
        <f>1</f>
        <v>1</v>
      </c>
      <c r="F47" s="6">
        <f t="shared" si="8"/>
        <v>6473</v>
      </c>
      <c r="G47" s="7">
        <f t="shared" si="5"/>
        <v>53.94166666666667</v>
      </c>
      <c r="H47" s="7">
        <f t="shared" si="4"/>
        <v>0.89902777777777787</v>
      </c>
    </row>
    <row r="48" spans="1:8" ht="15.4" x14ac:dyDescent="0.55000000000000004">
      <c r="A48" s="4">
        <v>47</v>
      </c>
      <c r="B48" s="5">
        <f t="shared" si="6"/>
        <v>5</v>
      </c>
      <c r="C48" s="5" cm="1">
        <f t="array" ref="C48">_xlfn.SWITCH(B48,1,3,2,4,3,5,4,6,5,9,6,8,7,10,8,12)</f>
        <v>9</v>
      </c>
      <c r="D48" s="5">
        <f t="shared" si="7"/>
        <v>18</v>
      </c>
      <c r="E48" s="5">
        <f>1</f>
        <v>1</v>
      </c>
      <c r="F48" s="6">
        <f t="shared" si="8"/>
        <v>7146</v>
      </c>
      <c r="G48" s="7">
        <f t="shared" si="5"/>
        <v>59.55</v>
      </c>
      <c r="H48" s="7">
        <f t="shared" si="4"/>
        <v>0.99249999999999994</v>
      </c>
    </row>
    <row r="49" spans="1:8" ht="15.4" x14ac:dyDescent="0.55000000000000004">
      <c r="A49" s="4">
        <v>48</v>
      </c>
      <c r="B49" s="5">
        <f t="shared" si="6"/>
        <v>5</v>
      </c>
      <c r="C49" s="5" cm="1">
        <f t="array" ref="C49">_xlfn.SWITCH(B49,1,3,2,4,3,5,4,6,5,9,6,8,7,10,8,12)</f>
        <v>9</v>
      </c>
      <c r="D49" s="5">
        <f t="shared" si="7"/>
        <v>18</v>
      </c>
      <c r="E49" s="5">
        <f>1</f>
        <v>1</v>
      </c>
      <c r="F49" s="6">
        <f t="shared" si="8"/>
        <v>7889</v>
      </c>
      <c r="G49" s="7">
        <f t="shared" si="5"/>
        <v>65.74166666666666</v>
      </c>
      <c r="H49" s="7">
        <f t="shared" si="4"/>
        <v>1.0956944444444443</v>
      </c>
    </row>
    <row r="50" spans="1:8" ht="15.4" x14ac:dyDescent="0.55000000000000004">
      <c r="A50" s="4">
        <v>49</v>
      </c>
      <c r="B50" s="5">
        <f t="shared" si="6"/>
        <v>5</v>
      </c>
      <c r="C50" s="5" cm="1">
        <f t="array" ref="C50">_xlfn.SWITCH(B50,1,3,2,4,3,5,4,6,5,9,6,8,7,10,8,12)</f>
        <v>9</v>
      </c>
      <c r="D50" s="5">
        <f t="shared" si="7"/>
        <v>18</v>
      </c>
      <c r="E50" s="5">
        <f>1</f>
        <v>1</v>
      </c>
      <c r="F50" s="6">
        <f t="shared" si="8"/>
        <v>8709</v>
      </c>
      <c r="G50" s="7">
        <f t="shared" si="5"/>
        <v>72.575000000000003</v>
      </c>
      <c r="H50" s="7">
        <f t="shared" si="4"/>
        <v>1.2095833333333335</v>
      </c>
    </row>
    <row r="51" spans="1:8" ht="15.4" x14ac:dyDescent="0.55000000000000004">
      <c r="A51" s="4">
        <v>50</v>
      </c>
      <c r="B51" s="5">
        <f t="shared" si="6"/>
        <v>5</v>
      </c>
      <c r="C51" s="5" cm="1">
        <f t="array" ref="C51">_xlfn.SWITCH(B51,1,3,2,4,3,5,4,6,5,9,6,8,7,10,8,12)</f>
        <v>9</v>
      </c>
      <c r="D51" s="5">
        <f t="shared" si="7"/>
        <v>18</v>
      </c>
      <c r="E51" s="5">
        <f>1</f>
        <v>1</v>
      </c>
      <c r="F51" s="6">
        <f t="shared" si="8"/>
        <v>9614</v>
      </c>
      <c r="G51" s="7">
        <f t="shared" ref="G51:G81" si="9">((F51 / (D51 * E51)) * C51)/60</f>
        <v>80.11666666666666</v>
      </c>
      <c r="H51" s="7">
        <f t="shared" ref="H51:H80" si="10">G51/60</f>
        <v>1.3352777777777776</v>
      </c>
    </row>
    <row r="52" spans="1:8" ht="15.4" x14ac:dyDescent="0.55000000000000004">
      <c r="A52" s="4">
        <v>51</v>
      </c>
      <c r="B52" s="5">
        <f t="shared" si="6"/>
        <v>6</v>
      </c>
      <c r="C52" s="5" cm="1">
        <f t="array" ref="C52">_xlfn.SWITCH(B52,1,3,2,4,3,5,4,6,5,9,6,8,7,10,8,12)</f>
        <v>8</v>
      </c>
      <c r="D52" s="5">
        <f t="shared" si="7"/>
        <v>16</v>
      </c>
      <c r="E52" s="5">
        <f>1</f>
        <v>1</v>
      </c>
      <c r="F52" s="6">
        <f t="shared" si="8"/>
        <v>10614</v>
      </c>
      <c r="G52" s="7">
        <f t="shared" si="9"/>
        <v>88.45</v>
      </c>
      <c r="H52" s="7">
        <f t="shared" si="10"/>
        <v>1.4741666666666666</v>
      </c>
    </row>
    <row r="53" spans="1:8" ht="15.4" x14ac:dyDescent="0.55000000000000004">
      <c r="A53" s="4">
        <v>52</v>
      </c>
      <c r="B53" s="5">
        <f t="shared" si="6"/>
        <v>6</v>
      </c>
      <c r="C53" s="5" cm="1">
        <f t="array" ref="C53">_xlfn.SWITCH(B53,1,3,2,4,3,5,4,6,5,9,6,8,7,10,8,12)</f>
        <v>8</v>
      </c>
      <c r="D53" s="5">
        <f t="shared" si="7"/>
        <v>16</v>
      </c>
      <c r="E53" s="5">
        <f>1</f>
        <v>1</v>
      </c>
      <c r="F53" s="6">
        <f t="shared" si="8"/>
        <v>11717</v>
      </c>
      <c r="G53" s="7">
        <f t="shared" si="9"/>
        <v>97.641666666666666</v>
      </c>
      <c r="H53" s="7">
        <f t="shared" si="10"/>
        <v>1.627361111111111</v>
      </c>
    </row>
    <row r="54" spans="1:8" ht="15.4" x14ac:dyDescent="0.55000000000000004">
      <c r="A54" s="4">
        <v>53</v>
      </c>
      <c r="B54" s="5">
        <f t="shared" si="6"/>
        <v>6</v>
      </c>
      <c r="C54" s="5" cm="1">
        <f t="array" ref="C54">_xlfn.SWITCH(B54,1,3,2,4,3,5,4,6,5,9,6,8,7,10,8,12)</f>
        <v>8</v>
      </c>
      <c r="D54" s="5">
        <f t="shared" si="7"/>
        <v>16</v>
      </c>
      <c r="E54" s="5">
        <f>1</f>
        <v>1</v>
      </c>
      <c r="F54" s="6">
        <f t="shared" si="8"/>
        <v>12936</v>
      </c>
      <c r="G54" s="7">
        <f t="shared" si="9"/>
        <v>107.8</v>
      </c>
      <c r="H54" s="7">
        <f t="shared" si="10"/>
        <v>1.7966666666666666</v>
      </c>
    </row>
    <row r="55" spans="1:8" ht="15.4" x14ac:dyDescent="0.55000000000000004">
      <c r="A55" s="4">
        <v>54</v>
      </c>
      <c r="B55" s="5">
        <f t="shared" si="6"/>
        <v>6</v>
      </c>
      <c r="C55" s="5" cm="1">
        <f t="array" ref="C55">_xlfn.SWITCH(B55,1,3,2,4,3,5,4,6,5,9,6,8,7,10,8,12)</f>
        <v>8</v>
      </c>
      <c r="D55" s="5">
        <f t="shared" si="7"/>
        <v>16</v>
      </c>
      <c r="E55" s="5">
        <f>1</f>
        <v>1</v>
      </c>
      <c r="F55" s="6">
        <f t="shared" si="8"/>
        <v>14281</v>
      </c>
      <c r="G55" s="7">
        <f t="shared" si="9"/>
        <v>119.00833333333334</v>
      </c>
      <c r="H55" s="7">
        <f t="shared" si="10"/>
        <v>1.9834722222222223</v>
      </c>
    </row>
    <row r="56" spans="1:8" ht="15.4" x14ac:dyDescent="0.55000000000000004">
      <c r="A56" s="4">
        <v>55</v>
      </c>
      <c r="B56" s="5">
        <f t="shared" si="6"/>
        <v>6</v>
      </c>
      <c r="C56" s="5" cm="1">
        <f t="array" ref="C56">_xlfn.SWITCH(B56,1,3,2,4,3,5,4,6,5,9,6,8,7,10,8,12)</f>
        <v>8</v>
      </c>
      <c r="D56" s="5">
        <f t="shared" si="7"/>
        <v>16</v>
      </c>
      <c r="E56" s="5">
        <f>1</f>
        <v>1</v>
      </c>
      <c r="F56" s="6">
        <f t="shared" si="8"/>
        <v>15766</v>
      </c>
      <c r="G56" s="7">
        <f t="shared" si="9"/>
        <v>131.38333333333333</v>
      </c>
      <c r="H56" s="7">
        <f t="shared" si="10"/>
        <v>2.1897222222222221</v>
      </c>
    </row>
    <row r="57" spans="1:8" ht="15.4" x14ac:dyDescent="0.55000000000000004">
      <c r="A57" s="4">
        <v>56</v>
      </c>
      <c r="B57" s="5">
        <f t="shared" si="6"/>
        <v>6</v>
      </c>
      <c r="C57" s="5" cm="1">
        <f t="array" ref="C57">_xlfn.SWITCH(B57,1,3,2,4,3,5,4,6,5,9,6,8,7,10,8,12)</f>
        <v>8</v>
      </c>
      <c r="D57" s="5">
        <f t="shared" si="7"/>
        <v>16</v>
      </c>
      <c r="E57" s="5">
        <f>1</f>
        <v>1</v>
      </c>
      <c r="F57" s="6">
        <f t="shared" si="8"/>
        <v>17406</v>
      </c>
      <c r="G57" s="7">
        <f t="shared" si="9"/>
        <v>145.05000000000001</v>
      </c>
      <c r="H57" s="7">
        <f t="shared" si="10"/>
        <v>2.4175</v>
      </c>
    </row>
    <row r="58" spans="1:8" ht="15.4" x14ac:dyDescent="0.55000000000000004">
      <c r="A58" s="4">
        <v>57</v>
      </c>
      <c r="B58" s="5">
        <f t="shared" si="6"/>
        <v>6</v>
      </c>
      <c r="C58" s="5" cm="1">
        <f t="array" ref="C58">_xlfn.SWITCH(B58,1,3,2,4,3,5,4,6,5,9,6,8,7,10,8,12)</f>
        <v>8</v>
      </c>
      <c r="D58" s="5">
        <f t="shared" si="7"/>
        <v>16</v>
      </c>
      <c r="E58" s="5">
        <f>1</f>
        <v>1</v>
      </c>
      <c r="F58" s="6">
        <f t="shared" si="8"/>
        <v>19216</v>
      </c>
      <c r="G58" s="7">
        <f t="shared" si="9"/>
        <v>160.13333333333333</v>
      </c>
      <c r="H58" s="7">
        <f t="shared" si="10"/>
        <v>2.6688888888888886</v>
      </c>
    </row>
    <row r="59" spans="1:8" ht="15.4" x14ac:dyDescent="0.55000000000000004">
      <c r="A59" s="4">
        <v>58</v>
      </c>
      <c r="B59" s="5">
        <f t="shared" si="6"/>
        <v>6</v>
      </c>
      <c r="C59" s="5" cm="1">
        <f t="array" ref="C59">_xlfn.SWITCH(B59,1,3,2,4,3,5,4,6,5,9,6,8,7,10,8,12)</f>
        <v>8</v>
      </c>
      <c r="D59" s="5">
        <f t="shared" si="7"/>
        <v>16</v>
      </c>
      <c r="E59" s="5">
        <f>1</f>
        <v>1</v>
      </c>
      <c r="F59" s="6">
        <f t="shared" si="8"/>
        <v>21215</v>
      </c>
      <c r="G59" s="7">
        <f t="shared" si="9"/>
        <v>176.79166666666666</v>
      </c>
      <c r="H59" s="7">
        <f t="shared" si="10"/>
        <v>2.9465277777777774</v>
      </c>
    </row>
    <row r="60" spans="1:8" ht="15.4" x14ac:dyDescent="0.55000000000000004">
      <c r="A60" s="4">
        <v>59</v>
      </c>
      <c r="B60" s="5">
        <f t="shared" si="6"/>
        <v>6</v>
      </c>
      <c r="C60" s="5" cm="1">
        <f t="array" ref="C60">_xlfn.SWITCH(B60,1,3,2,4,3,5,4,6,5,9,6,8,7,10,8,12)</f>
        <v>8</v>
      </c>
      <c r="D60" s="5">
        <f t="shared" si="7"/>
        <v>16</v>
      </c>
      <c r="E60" s="5">
        <f>1</f>
        <v>1</v>
      </c>
      <c r="F60" s="6">
        <f t="shared" si="8"/>
        <v>23422</v>
      </c>
      <c r="G60" s="7">
        <f t="shared" si="9"/>
        <v>195.18333333333334</v>
      </c>
      <c r="H60" s="7">
        <f t="shared" si="10"/>
        <v>3.2530555555555556</v>
      </c>
    </row>
    <row r="61" spans="1:8" ht="15.4" x14ac:dyDescent="0.55000000000000004">
      <c r="A61" s="4">
        <v>60</v>
      </c>
      <c r="B61" s="5">
        <f t="shared" si="6"/>
        <v>6</v>
      </c>
      <c r="C61" s="5" cm="1">
        <f t="array" ref="C61">_xlfn.SWITCH(B61,1,3,2,4,3,5,4,6,5,9,6,8,7,10,8,12)</f>
        <v>8</v>
      </c>
      <c r="D61" s="5">
        <f t="shared" si="7"/>
        <v>16</v>
      </c>
      <c r="E61" s="5">
        <f>1</f>
        <v>1</v>
      </c>
      <c r="F61" s="6">
        <f t="shared" si="8"/>
        <v>25858</v>
      </c>
      <c r="G61" s="7">
        <f t="shared" si="9"/>
        <v>215.48333333333332</v>
      </c>
      <c r="H61" s="7">
        <f t="shared" si="10"/>
        <v>3.5913888888888885</v>
      </c>
    </row>
    <row r="62" spans="1:8" ht="15.4" x14ac:dyDescent="0.55000000000000004">
      <c r="A62" s="4">
        <v>61</v>
      </c>
      <c r="B62" s="5">
        <f t="shared" si="6"/>
        <v>7</v>
      </c>
      <c r="C62" s="5" cm="1">
        <f t="array" ref="C62">_xlfn.SWITCH(B62,1,3,2,4,3,5,4,6,5,9,6,8,7,10,8,12)</f>
        <v>10</v>
      </c>
      <c r="D62" s="5">
        <f t="shared" si="7"/>
        <v>20</v>
      </c>
      <c r="E62" s="5">
        <f>1</f>
        <v>1</v>
      </c>
      <c r="F62" s="6">
        <f t="shared" si="8"/>
        <v>28549</v>
      </c>
      <c r="G62" s="7">
        <f t="shared" si="9"/>
        <v>237.90833333333333</v>
      </c>
      <c r="H62" s="7">
        <f t="shared" si="10"/>
        <v>3.9651388888888888</v>
      </c>
    </row>
    <row r="63" spans="1:8" ht="15.4" x14ac:dyDescent="0.55000000000000004">
      <c r="A63" s="4">
        <v>62</v>
      </c>
      <c r="B63" s="5">
        <f t="shared" si="6"/>
        <v>7</v>
      </c>
      <c r="C63" s="5" cm="1">
        <f t="array" ref="C63">_xlfn.SWITCH(B63,1,3,2,4,3,5,4,6,5,9,6,8,7,10,8,12)</f>
        <v>10</v>
      </c>
      <c r="D63" s="5">
        <f t="shared" si="7"/>
        <v>20</v>
      </c>
      <c r="E63" s="5">
        <f>1</f>
        <v>1</v>
      </c>
      <c r="F63" s="6">
        <f t="shared" si="8"/>
        <v>31519</v>
      </c>
      <c r="G63" s="7">
        <f t="shared" si="9"/>
        <v>262.65833333333336</v>
      </c>
      <c r="H63" s="7">
        <f t="shared" si="10"/>
        <v>4.3776388888888897</v>
      </c>
    </row>
    <row r="64" spans="1:8" ht="15.4" x14ac:dyDescent="0.55000000000000004">
      <c r="A64" s="4">
        <v>63</v>
      </c>
      <c r="B64" s="5">
        <f t="shared" si="6"/>
        <v>7</v>
      </c>
      <c r="C64" s="5" cm="1">
        <f t="array" ref="C64">_xlfn.SWITCH(B64,1,3,2,4,3,5,4,6,5,9,6,8,7,10,8,12)</f>
        <v>10</v>
      </c>
      <c r="D64" s="5">
        <f t="shared" si="7"/>
        <v>20</v>
      </c>
      <c r="E64" s="5">
        <f>1</f>
        <v>1</v>
      </c>
      <c r="F64" s="6">
        <f t="shared" si="8"/>
        <v>34798</v>
      </c>
      <c r="G64" s="7">
        <f t="shared" si="9"/>
        <v>289.98333333333335</v>
      </c>
      <c r="H64" s="7">
        <f t="shared" si="10"/>
        <v>4.8330555555555561</v>
      </c>
    </row>
    <row r="65" spans="1:8" ht="15.4" x14ac:dyDescent="0.55000000000000004">
      <c r="A65" s="4">
        <v>64</v>
      </c>
      <c r="B65" s="5">
        <f t="shared" si="6"/>
        <v>7</v>
      </c>
      <c r="C65" s="5" cm="1">
        <f t="array" ref="C65">_xlfn.SWITCH(B65,1,3,2,4,3,5,4,6,5,9,6,8,7,10,8,12)</f>
        <v>10</v>
      </c>
      <c r="D65" s="5">
        <f t="shared" si="7"/>
        <v>20</v>
      </c>
      <c r="E65" s="5">
        <f>1</f>
        <v>1</v>
      </c>
      <c r="F65" s="6">
        <f t="shared" si="8"/>
        <v>38418</v>
      </c>
      <c r="G65" s="7">
        <f t="shared" si="9"/>
        <v>320.14999999999998</v>
      </c>
      <c r="H65" s="7">
        <f t="shared" si="10"/>
        <v>5.3358333333333325</v>
      </c>
    </row>
    <row r="66" spans="1:8" ht="15.4" x14ac:dyDescent="0.55000000000000004">
      <c r="A66" s="4">
        <v>65</v>
      </c>
      <c r="B66" s="5">
        <f t="shared" ref="B66:B97" si="11">MIN(8,INT((A66-1)/10)+1)</f>
        <v>7</v>
      </c>
      <c r="C66" s="5" cm="1">
        <f t="array" ref="C66">_xlfn.SWITCH(B66,1,3,2,4,3,5,4,6,5,9,6,8,7,10,8,12)</f>
        <v>10</v>
      </c>
      <c r="D66" s="5">
        <f t="shared" ref="D66:D97" si="12">C66*2</f>
        <v>20</v>
      </c>
      <c r="E66" s="5">
        <f>1</f>
        <v>1</v>
      </c>
      <c r="F66" s="6">
        <f t="shared" ref="F66:F101" si="13">INT(0.3*((A66-1)+250*POWER(2,(A66-1)/7)))</f>
        <v>42416</v>
      </c>
      <c r="G66" s="7">
        <f t="shared" si="9"/>
        <v>353.46666666666664</v>
      </c>
      <c r="H66" s="7">
        <f t="shared" si="10"/>
        <v>5.891111111111111</v>
      </c>
    </row>
    <row r="67" spans="1:8" ht="15.4" x14ac:dyDescent="0.55000000000000004">
      <c r="A67" s="4">
        <v>66</v>
      </c>
      <c r="B67" s="5">
        <f t="shared" si="11"/>
        <v>7</v>
      </c>
      <c r="C67" s="5" cm="1">
        <f t="array" ref="C67">_xlfn.SWITCH(B67,1,3,2,4,3,5,4,6,5,9,6,8,7,10,8,12)</f>
        <v>10</v>
      </c>
      <c r="D67" s="5">
        <f t="shared" si="12"/>
        <v>20</v>
      </c>
      <c r="E67" s="5">
        <f>1</f>
        <v>1</v>
      </c>
      <c r="F67" s="6">
        <f t="shared" si="13"/>
        <v>46829</v>
      </c>
      <c r="G67" s="7">
        <f t="shared" si="9"/>
        <v>390.24166666666667</v>
      </c>
      <c r="H67" s="7">
        <f t="shared" si="10"/>
        <v>6.504027777777778</v>
      </c>
    </row>
    <row r="68" spans="1:8" ht="15.4" x14ac:dyDescent="0.55000000000000004">
      <c r="A68" s="4">
        <v>67</v>
      </c>
      <c r="B68" s="5">
        <f t="shared" si="11"/>
        <v>7</v>
      </c>
      <c r="C68" s="5" cm="1">
        <f t="array" ref="C68">_xlfn.SWITCH(B68,1,3,2,4,3,5,4,6,5,9,6,8,7,10,8,12)</f>
        <v>10</v>
      </c>
      <c r="D68" s="5">
        <f t="shared" si="12"/>
        <v>20</v>
      </c>
      <c r="E68" s="5">
        <f>1</f>
        <v>1</v>
      </c>
      <c r="F68" s="6">
        <f t="shared" si="13"/>
        <v>51702</v>
      </c>
      <c r="G68" s="7">
        <f t="shared" si="9"/>
        <v>430.85</v>
      </c>
      <c r="H68" s="7">
        <f t="shared" si="10"/>
        <v>7.1808333333333341</v>
      </c>
    </row>
    <row r="69" spans="1:8" ht="15.4" x14ac:dyDescent="0.55000000000000004">
      <c r="A69" s="4">
        <v>68</v>
      </c>
      <c r="B69" s="5">
        <f t="shared" si="11"/>
        <v>7</v>
      </c>
      <c r="C69" s="5" cm="1">
        <f t="array" ref="C69">_xlfn.SWITCH(B69,1,3,2,4,3,5,4,6,5,9,6,8,7,10,8,12)</f>
        <v>10</v>
      </c>
      <c r="D69" s="5">
        <f t="shared" si="12"/>
        <v>20</v>
      </c>
      <c r="E69" s="5">
        <f>1</f>
        <v>1</v>
      </c>
      <c r="F69" s="6">
        <f t="shared" si="13"/>
        <v>57082</v>
      </c>
      <c r="G69" s="7">
        <f t="shared" si="9"/>
        <v>475.68333333333334</v>
      </c>
      <c r="H69" s="7">
        <f t="shared" si="10"/>
        <v>7.9280555555555559</v>
      </c>
    </row>
    <row r="70" spans="1:8" ht="15.4" x14ac:dyDescent="0.55000000000000004">
      <c r="A70" s="4">
        <v>69</v>
      </c>
      <c r="B70" s="5">
        <f t="shared" si="11"/>
        <v>7</v>
      </c>
      <c r="C70" s="5" cm="1">
        <f t="array" ref="C70">_xlfn.SWITCH(B70,1,3,2,4,3,5,4,6,5,9,6,8,7,10,8,12)</f>
        <v>10</v>
      </c>
      <c r="D70" s="5">
        <f t="shared" si="12"/>
        <v>20</v>
      </c>
      <c r="E70" s="5">
        <f>1</f>
        <v>1</v>
      </c>
      <c r="F70" s="6">
        <f t="shared" si="13"/>
        <v>63022</v>
      </c>
      <c r="G70" s="7">
        <f t="shared" si="9"/>
        <v>525.18333333333328</v>
      </c>
      <c r="H70" s="7">
        <f t="shared" si="10"/>
        <v>8.7530555555555551</v>
      </c>
    </row>
    <row r="71" spans="1:8" ht="15.4" x14ac:dyDescent="0.55000000000000004">
      <c r="A71" s="4">
        <v>70</v>
      </c>
      <c r="B71" s="5">
        <f t="shared" si="11"/>
        <v>7</v>
      </c>
      <c r="C71" s="5" cm="1">
        <f t="array" ref="C71">_xlfn.SWITCH(B71,1,3,2,4,3,5,4,6,5,9,6,8,7,10,8,12)</f>
        <v>10</v>
      </c>
      <c r="D71" s="5">
        <f t="shared" si="12"/>
        <v>20</v>
      </c>
      <c r="E71" s="5">
        <f>1</f>
        <v>1</v>
      </c>
      <c r="F71" s="6">
        <f t="shared" si="13"/>
        <v>69580</v>
      </c>
      <c r="G71" s="7">
        <f t="shared" si="9"/>
        <v>579.83333333333337</v>
      </c>
      <c r="H71" s="7">
        <f t="shared" si="10"/>
        <v>9.6638888888888896</v>
      </c>
    </row>
    <row r="72" spans="1:8" ht="15.4" x14ac:dyDescent="0.55000000000000004">
      <c r="A72" s="4">
        <v>71</v>
      </c>
      <c r="B72" s="5">
        <f t="shared" si="11"/>
        <v>8</v>
      </c>
      <c r="C72" s="5" cm="1">
        <f t="array" ref="C72">_xlfn.SWITCH(B72,1,3,2,4,3,5,4,6,5,9,6,8,7,10,8,12)</f>
        <v>12</v>
      </c>
      <c r="D72" s="5">
        <f t="shared" si="12"/>
        <v>24</v>
      </c>
      <c r="E72" s="5">
        <f>1</f>
        <v>1</v>
      </c>
      <c r="F72" s="6">
        <f t="shared" si="13"/>
        <v>76821</v>
      </c>
      <c r="G72" s="7">
        <f t="shared" si="9"/>
        <v>640.17499999999995</v>
      </c>
      <c r="H72" s="7">
        <f t="shared" si="10"/>
        <v>10.669583333333332</v>
      </c>
    </row>
    <row r="73" spans="1:8" ht="15.4" x14ac:dyDescent="0.55000000000000004">
      <c r="A73" s="4">
        <v>72</v>
      </c>
      <c r="B73" s="5">
        <f t="shared" si="11"/>
        <v>8</v>
      </c>
      <c r="C73" s="5" cm="1">
        <f t="array" ref="C73">_xlfn.SWITCH(B73,1,3,2,4,3,5,4,6,5,9,6,8,7,10,8,12)</f>
        <v>12</v>
      </c>
      <c r="D73" s="5">
        <f t="shared" si="12"/>
        <v>24</v>
      </c>
      <c r="E73" s="5">
        <f>1</f>
        <v>1</v>
      </c>
      <c r="F73" s="6">
        <f t="shared" si="13"/>
        <v>84815</v>
      </c>
      <c r="G73" s="7">
        <f t="shared" si="9"/>
        <v>706.79166666666663</v>
      </c>
      <c r="H73" s="7">
        <f t="shared" si="10"/>
        <v>11.77986111111111</v>
      </c>
    </row>
    <row r="74" spans="1:8" ht="15.4" x14ac:dyDescent="0.55000000000000004">
      <c r="A74" s="4">
        <v>73</v>
      </c>
      <c r="B74" s="5">
        <f t="shared" si="11"/>
        <v>8</v>
      </c>
      <c r="C74" s="5" cm="1">
        <f t="array" ref="C74">_xlfn.SWITCH(B74,1,3,2,4,3,5,4,6,5,9,6,8,7,10,8,12)</f>
        <v>12</v>
      </c>
      <c r="D74" s="5">
        <f t="shared" si="12"/>
        <v>24</v>
      </c>
      <c r="E74" s="5">
        <f>1</f>
        <v>1</v>
      </c>
      <c r="F74" s="6">
        <f t="shared" si="13"/>
        <v>93641</v>
      </c>
      <c r="G74" s="7">
        <f t="shared" si="9"/>
        <v>780.3416666666667</v>
      </c>
      <c r="H74" s="7">
        <f t="shared" si="10"/>
        <v>13.005694444444446</v>
      </c>
    </row>
    <row r="75" spans="1:8" ht="15.4" x14ac:dyDescent="0.55000000000000004">
      <c r="A75" s="4">
        <v>74</v>
      </c>
      <c r="B75" s="5">
        <f t="shared" si="11"/>
        <v>8</v>
      </c>
      <c r="C75" s="5" cm="1">
        <f t="array" ref="C75">_xlfn.SWITCH(B75,1,3,2,4,3,5,4,6,5,9,6,8,7,10,8,12)</f>
        <v>12</v>
      </c>
      <c r="D75" s="5">
        <f t="shared" si="12"/>
        <v>24</v>
      </c>
      <c r="E75" s="5">
        <f>1</f>
        <v>1</v>
      </c>
      <c r="F75" s="6">
        <f t="shared" si="13"/>
        <v>103387</v>
      </c>
      <c r="G75" s="7">
        <f t="shared" si="9"/>
        <v>861.55833333333328</v>
      </c>
      <c r="H75" s="7">
        <f t="shared" si="10"/>
        <v>14.359305555555554</v>
      </c>
    </row>
    <row r="76" spans="1:8" ht="15.4" x14ac:dyDescent="0.55000000000000004">
      <c r="A76" s="4">
        <v>75</v>
      </c>
      <c r="B76" s="5">
        <f t="shared" si="11"/>
        <v>8</v>
      </c>
      <c r="C76" s="5" cm="1">
        <f t="array" ref="C76">_xlfn.SWITCH(B76,1,3,2,4,3,5,4,6,5,9,6,8,7,10,8,12)</f>
        <v>12</v>
      </c>
      <c r="D76" s="5">
        <f t="shared" si="12"/>
        <v>24</v>
      </c>
      <c r="E76" s="5">
        <f>1</f>
        <v>1</v>
      </c>
      <c r="F76" s="6">
        <f t="shared" si="13"/>
        <v>114146</v>
      </c>
      <c r="G76" s="7">
        <f t="shared" si="9"/>
        <v>951.2166666666667</v>
      </c>
      <c r="H76" s="7">
        <f t="shared" si="10"/>
        <v>15.853611111111112</v>
      </c>
    </row>
    <row r="77" spans="1:8" ht="15.4" x14ac:dyDescent="0.55000000000000004">
      <c r="A77" s="4">
        <v>76</v>
      </c>
      <c r="B77" s="5">
        <f t="shared" si="11"/>
        <v>8</v>
      </c>
      <c r="C77" s="5" cm="1">
        <f t="array" ref="C77">_xlfn.SWITCH(B77,1,3,2,4,3,5,4,6,5,9,6,8,7,10,8,12)</f>
        <v>12</v>
      </c>
      <c r="D77" s="5">
        <f t="shared" si="12"/>
        <v>24</v>
      </c>
      <c r="E77" s="5">
        <f>1</f>
        <v>1</v>
      </c>
      <c r="F77" s="6">
        <f t="shared" si="13"/>
        <v>126026</v>
      </c>
      <c r="G77" s="7">
        <f t="shared" si="9"/>
        <v>1050.2166666666667</v>
      </c>
      <c r="H77" s="7">
        <f t="shared" si="10"/>
        <v>17.503611111111113</v>
      </c>
    </row>
    <row r="78" spans="1:8" ht="15.4" x14ac:dyDescent="0.55000000000000004">
      <c r="A78" s="4">
        <v>77</v>
      </c>
      <c r="B78" s="5">
        <f t="shared" si="11"/>
        <v>8</v>
      </c>
      <c r="C78" s="5" cm="1">
        <f t="array" ref="C78">_xlfn.SWITCH(B78,1,3,2,4,3,5,4,6,5,9,6,8,7,10,8,12)</f>
        <v>12</v>
      </c>
      <c r="D78" s="5">
        <f t="shared" si="12"/>
        <v>24</v>
      </c>
      <c r="E78" s="5">
        <f>1</f>
        <v>1</v>
      </c>
      <c r="F78" s="6">
        <f t="shared" si="13"/>
        <v>139141</v>
      </c>
      <c r="G78" s="7">
        <f t="shared" si="9"/>
        <v>1159.5083333333334</v>
      </c>
      <c r="H78" s="7">
        <f t="shared" si="10"/>
        <v>19.32513888888889</v>
      </c>
    </row>
    <row r="79" spans="1:8" ht="15.4" x14ac:dyDescent="0.55000000000000004">
      <c r="A79" s="4">
        <v>78</v>
      </c>
      <c r="B79" s="5">
        <f t="shared" si="11"/>
        <v>8</v>
      </c>
      <c r="C79" s="5" cm="1">
        <f t="array" ref="C79">_xlfn.SWITCH(B79,1,3,2,4,3,5,4,6,5,9,6,8,7,10,8,12)</f>
        <v>12</v>
      </c>
      <c r="D79" s="5">
        <f t="shared" si="12"/>
        <v>24</v>
      </c>
      <c r="E79" s="5">
        <f>1</f>
        <v>1</v>
      </c>
      <c r="F79" s="6">
        <f t="shared" si="13"/>
        <v>153623</v>
      </c>
      <c r="G79" s="7">
        <f t="shared" si="9"/>
        <v>1280.1916666666666</v>
      </c>
      <c r="H79" s="7">
        <f t="shared" si="10"/>
        <v>21.336527777777778</v>
      </c>
    </row>
    <row r="80" spans="1:8" ht="15.4" x14ac:dyDescent="0.55000000000000004">
      <c r="A80" s="4">
        <v>79</v>
      </c>
      <c r="B80" s="5">
        <f t="shared" si="11"/>
        <v>8</v>
      </c>
      <c r="C80" s="5" cm="1">
        <f t="array" ref="C80">_xlfn.SWITCH(B80,1,3,2,4,3,5,4,6,5,9,6,8,7,10,8,12)</f>
        <v>12</v>
      </c>
      <c r="D80" s="5">
        <f t="shared" si="12"/>
        <v>24</v>
      </c>
      <c r="E80" s="5">
        <f>1</f>
        <v>1</v>
      </c>
      <c r="F80" s="6">
        <f t="shared" si="13"/>
        <v>169611</v>
      </c>
      <c r="G80" s="7">
        <f t="shared" si="9"/>
        <v>1413.425</v>
      </c>
      <c r="H80" s="7">
        <f t="shared" si="10"/>
        <v>23.557083333333331</v>
      </c>
    </row>
    <row r="81" spans="1:8" ht="15.4" x14ac:dyDescent="0.55000000000000004">
      <c r="A81" s="4">
        <v>80</v>
      </c>
      <c r="B81" s="5">
        <f t="shared" si="11"/>
        <v>8</v>
      </c>
      <c r="C81" s="5" cm="1">
        <f t="array" ref="C81">_xlfn.SWITCH(B81,1,3,2,4,3,5,4,6,5,9,6,8,7,10,8,12)</f>
        <v>12</v>
      </c>
      <c r="D81" s="5">
        <f t="shared" si="12"/>
        <v>24</v>
      </c>
      <c r="E81" s="5">
        <f>1</f>
        <v>1</v>
      </c>
      <c r="F81" s="6">
        <f t="shared" si="13"/>
        <v>187264</v>
      </c>
      <c r="G81" s="7">
        <f t="shared" si="9"/>
        <v>1560.5333333333333</v>
      </c>
      <c r="H81" s="7">
        <f>G81/60</f>
        <v>26.008888888888887</v>
      </c>
    </row>
    <row r="82" spans="1:8" ht="15.4" x14ac:dyDescent="0.55000000000000004">
      <c r="A82" s="4">
        <v>81</v>
      </c>
      <c r="B82" s="5">
        <f t="shared" si="11"/>
        <v>8</v>
      </c>
      <c r="C82" s="5" cm="1">
        <f t="array" ref="C82">_xlfn.SWITCH(B82,1,3,2,4,3,5,4,6,5,9,6,8,7,10,8,12)</f>
        <v>12</v>
      </c>
      <c r="D82" s="5">
        <f t="shared" si="12"/>
        <v>24</v>
      </c>
      <c r="E82" s="5">
        <f>1</f>
        <v>1</v>
      </c>
      <c r="F82" s="6">
        <f t="shared" si="13"/>
        <v>206754</v>
      </c>
      <c r="G82" s="7">
        <f t="shared" ref="G82:G101" si="14">((F82 / (D82 * E82)) * C82)/60</f>
        <v>1722.95</v>
      </c>
      <c r="H82" s="7">
        <f t="shared" ref="H82:H101" si="15">G82/60</f>
        <v>28.715833333333332</v>
      </c>
    </row>
    <row r="83" spans="1:8" ht="15.4" x14ac:dyDescent="0.55000000000000004">
      <c r="A83" s="4">
        <v>82</v>
      </c>
      <c r="B83" s="5">
        <f t="shared" si="11"/>
        <v>8</v>
      </c>
      <c r="C83" s="5" cm="1">
        <f t="array" ref="C83">_xlfn.SWITCH(B83,1,3,2,4,3,5,4,6,5,9,6,8,7,10,8,12)</f>
        <v>12</v>
      </c>
      <c r="D83" s="5">
        <f t="shared" si="12"/>
        <v>24</v>
      </c>
      <c r="E83" s="5">
        <f>1</f>
        <v>1</v>
      </c>
      <c r="F83" s="6">
        <f t="shared" si="13"/>
        <v>228273</v>
      </c>
      <c r="G83" s="7">
        <f t="shared" si="14"/>
        <v>1902.2750000000001</v>
      </c>
      <c r="H83" s="7">
        <f t="shared" si="15"/>
        <v>31.704583333333336</v>
      </c>
    </row>
    <row r="84" spans="1:8" ht="15.4" x14ac:dyDescent="0.55000000000000004">
      <c r="A84" s="4">
        <v>83</v>
      </c>
      <c r="B84" s="5">
        <f t="shared" si="11"/>
        <v>8</v>
      </c>
      <c r="C84" s="5" cm="1">
        <f t="array" ref="C84">_xlfn.SWITCH(B84,1,3,2,4,3,5,4,6,5,9,6,8,7,10,8,12)</f>
        <v>12</v>
      </c>
      <c r="D84" s="5">
        <f t="shared" si="12"/>
        <v>24</v>
      </c>
      <c r="E84" s="5">
        <f>1</f>
        <v>1</v>
      </c>
      <c r="F84" s="6">
        <f t="shared" si="13"/>
        <v>252031</v>
      </c>
      <c r="G84" s="7">
        <f t="shared" si="14"/>
        <v>2100.2583333333332</v>
      </c>
      <c r="H84" s="7">
        <f t="shared" si="15"/>
        <v>35.004305555555554</v>
      </c>
    </row>
    <row r="85" spans="1:8" ht="15.4" x14ac:dyDescent="0.55000000000000004">
      <c r="A85" s="4">
        <v>84</v>
      </c>
      <c r="B85" s="5">
        <f t="shared" si="11"/>
        <v>8</v>
      </c>
      <c r="C85" s="5" cm="1">
        <f t="array" ref="C85">_xlfn.SWITCH(B85,1,3,2,4,3,5,4,6,5,9,6,8,7,10,8,12)</f>
        <v>12</v>
      </c>
      <c r="D85" s="5">
        <f t="shared" si="12"/>
        <v>24</v>
      </c>
      <c r="E85" s="5">
        <f>1</f>
        <v>1</v>
      </c>
      <c r="F85" s="6">
        <f t="shared" si="13"/>
        <v>278263</v>
      </c>
      <c r="G85" s="7">
        <f t="shared" si="14"/>
        <v>2318.8583333333331</v>
      </c>
      <c r="H85" s="7">
        <f t="shared" si="15"/>
        <v>38.647638888888885</v>
      </c>
    </row>
    <row r="86" spans="1:8" ht="15.4" x14ac:dyDescent="0.55000000000000004">
      <c r="A86" s="4">
        <v>85</v>
      </c>
      <c r="B86" s="5">
        <f t="shared" si="11"/>
        <v>8</v>
      </c>
      <c r="C86" s="5" cm="1">
        <f t="array" ref="C86">_xlfn.SWITCH(B86,1,3,2,4,3,5,4,6,5,9,6,8,7,10,8,12)</f>
        <v>12</v>
      </c>
      <c r="D86" s="5">
        <f t="shared" si="12"/>
        <v>24</v>
      </c>
      <c r="E86" s="5">
        <f>1</f>
        <v>1</v>
      </c>
      <c r="F86" s="6">
        <f t="shared" si="13"/>
        <v>307225</v>
      </c>
      <c r="G86" s="7">
        <f t="shared" si="14"/>
        <v>2560.2083333333335</v>
      </c>
      <c r="H86" s="7">
        <f t="shared" si="15"/>
        <v>42.670138888888893</v>
      </c>
    </row>
    <row r="87" spans="1:8" ht="15.4" x14ac:dyDescent="0.55000000000000004">
      <c r="A87" s="4">
        <v>86</v>
      </c>
      <c r="B87" s="5">
        <f t="shared" si="11"/>
        <v>8</v>
      </c>
      <c r="C87" s="5" cm="1">
        <f t="array" ref="C87">_xlfn.SWITCH(B87,1,3,2,4,3,5,4,6,5,9,6,8,7,10,8,12)</f>
        <v>12</v>
      </c>
      <c r="D87" s="5">
        <f t="shared" si="12"/>
        <v>24</v>
      </c>
      <c r="E87" s="5">
        <f>1</f>
        <v>1</v>
      </c>
      <c r="F87" s="6">
        <f t="shared" si="13"/>
        <v>339201</v>
      </c>
      <c r="G87" s="7">
        <f t="shared" si="14"/>
        <v>2826.6750000000002</v>
      </c>
      <c r="H87" s="7">
        <f t="shared" si="15"/>
        <v>47.111250000000005</v>
      </c>
    </row>
    <row r="88" spans="1:8" ht="15.4" x14ac:dyDescent="0.55000000000000004">
      <c r="A88" s="4">
        <v>87</v>
      </c>
      <c r="B88" s="5">
        <f t="shared" si="11"/>
        <v>8</v>
      </c>
      <c r="C88" s="5" cm="1">
        <f t="array" ref="C88">_xlfn.SWITCH(B88,1,3,2,4,3,5,4,6,5,9,6,8,7,10,8,12)</f>
        <v>12</v>
      </c>
      <c r="D88" s="5">
        <f t="shared" si="12"/>
        <v>24</v>
      </c>
      <c r="E88" s="5">
        <f>1</f>
        <v>1</v>
      </c>
      <c r="F88" s="6">
        <f t="shared" si="13"/>
        <v>374506</v>
      </c>
      <c r="G88" s="7">
        <f t="shared" si="14"/>
        <v>3120.8833333333332</v>
      </c>
      <c r="H88" s="7">
        <f t="shared" si="15"/>
        <v>52.014722222222218</v>
      </c>
    </row>
    <row r="89" spans="1:8" ht="15.4" x14ac:dyDescent="0.55000000000000004">
      <c r="A89" s="4">
        <v>88</v>
      </c>
      <c r="B89" s="5">
        <f t="shared" si="11"/>
        <v>8</v>
      </c>
      <c r="C89" s="5" cm="1">
        <f t="array" ref="C89">_xlfn.SWITCH(B89,1,3,2,4,3,5,4,6,5,9,6,8,7,10,8,12)</f>
        <v>12</v>
      </c>
      <c r="D89" s="5">
        <f t="shared" si="12"/>
        <v>24</v>
      </c>
      <c r="E89" s="5">
        <f>1</f>
        <v>1</v>
      </c>
      <c r="F89" s="6">
        <f t="shared" si="13"/>
        <v>413486</v>
      </c>
      <c r="G89" s="7">
        <f t="shared" si="14"/>
        <v>3445.7166666666667</v>
      </c>
      <c r="H89" s="7">
        <f t="shared" si="15"/>
        <v>57.42861111111111</v>
      </c>
    </row>
    <row r="90" spans="1:8" ht="15.4" x14ac:dyDescent="0.55000000000000004">
      <c r="A90" s="4">
        <v>89</v>
      </c>
      <c r="B90" s="5">
        <f t="shared" si="11"/>
        <v>8</v>
      </c>
      <c r="C90" s="5" cm="1">
        <f t="array" ref="C90">_xlfn.SWITCH(B90,1,3,2,4,3,5,4,6,5,9,6,8,7,10,8,12)</f>
        <v>12</v>
      </c>
      <c r="D90" s="5">
        <f t="shared" si="12"/>
        <v>24</v>
      </c>
      <c r="E90" s="5">
        <f>1</f>
        <v>1</v>
      </c>
      <c r="F90" s="6">
        <f t="shared" si="13"/>
        <v>456523</v>
      </c>
      <c r="G90" s="7">
        <f t="shared" si="14"/>
        <v>3804.3583333333331</v>
      </c>
      <c r="H90" s="7">
        <f t="shared" si="15"/>
        <v>63.405972222222218</v>
      </c>
    </row>
    <row r="91" spans="1:8" ht="15.4" x14ac:dyDescent="0.55000000000000004">
      <c r="A91" s="4">
        <v>90</v>
      </c>
      <c r="B91" s="5">
        <f t="shared" si="11"/>
        <v>8</v>
      </c>
      <c r="C91" s="5" cm="1">
        <f t="array" ref="C91">_xlfn.SWITCH(B91,1,3,2,4,3,5,4,6,5,9,6,8,7,10,8,12)</f>
        <v>12</v>
      </c>
      <c r="D91" s="5">
        <f t="shared" si="12"/>
        <v>24</v>
      </c>
      <c r="E91" s="5">
        <f>1</f>
        <v>1</v>
      </c>
      <c r="F91" s="6">
        <f t="shared" si="13"/>
        <v>504040</v>
      </c>
      <c r="G91" s="7">
        <f t="shared" si="14"/>
        <v>4200.333333333333</v>
      </c>
      <c r="H91" s="7">
        <f t="shared" si="15"/>
        <v>70.005555555555546</v>
      </c>
    </row>
    <row r="92" spans="1:8" ht="15.4" x14ac:dyDescent="0.55000000000000004">
      <c r="A92" s="4">
        <v>91</v>
      </c>
      <c r="B92" s="5">
        <f t="shared" si="11"/>
        <v>8</v>
      </c>
      <c r="C92" s="5" cm="1">
        <f t="array" ref="C92">_xlfn.SWITCH(B92,1,3,2,4,3,5,4,6,5,9,6,8,7,10,8,12)</f>
        <v>12</v>
      </c>
      <c r="D92" s="5">
        <f t="shared" si="12"/>
        <v>24</v>
      </c>
      <c r="E92" s="5">
        <f>1</f>
        <v>1</v>
      </c>
      <c r="F92" s="6">
        <f t="shared" si="13"/>
        <v>556503</v>
      </c>
      <c r="G92" s="7">
        <f t="shared" si="14"/>
        <v>4637.5249999999996</v>
      </c>
      <c r="H92" s="7">
        <f t="shared" si="15"/>
        <v>77.292083333333323</v>
      </c>
    </row>
    <row r="93" spans="1:8" ht="15.4" x14ac:dyDescent="0.55000000000000004">
      <c r="A93" s="4">
        <v>92</v>
      </c>
      <c r="B93" s="5">
        <f t="shared" si="11"/>
        <v>8</v>
      </c>
      <c r="C93" s="5" cm="1">
        <f t="array" ref="C93">_xlfn.SWITCH(B93,1,3,2,4,3,5,4,6,5,9,6,8,7,10,8,12)</f>
        <v>12</v>
      </c>
      <c r="D93" s="5">
        <f t="shared" si="12"/>
        <v>24</v>
      </c>
      <c r="E93" s="5">
        <f>1</f>
        <v>1</v>
      </c>
      <c r="F93" s="6">
        <f t="shared" si="13"/>
        <v>614427</v>
      </c>
      <c r="G93" s="7">
        <f t="shared" si="14"/>
        <v>5120.2250000000004</v>
      </c>
      <c r="H93" s="7">
        <f t="shared" si="15"/>
        <v>85.337083333333339</v>
      </c>
    </row>
    <row r="94" spans="1:8" ht="15.4" x14ac:dyDescent="0.55000000000000004">
      <c r="A94" s="4">
        <v>93</v>
      </c>
      <c r="B94" s="5">
        <f t="shared" si="11"/>
        <v>8</v>
      </c>
      <c r="C94" s="5" cm="1">
        <f t="array" ref="C94">_xlfn.SWITCH(B94,1,3,2,4,3,5,4,6,5,9,6,8,7,10,8,12)</f>
        <v>12</v>
      </c>
      <c r="D94" s="5">
        <f t="shared" si="12"/>
        <v>24</v>
      </c>
      <c r="E94" s="5">
        <f>1</f>
        <v>1</v>
      </c>
      <c r="F94" s="6">
        <f t="shared" si="13"/>
        <v>678380</v>
      </c>
      <c r="G94" s="7">
        <f t="shared" si="14"/>
        <v>5653.166666666667</v>
      </c>
      <c r="H94" s="7">
        <f t="shared" si="15"/>
        <v>94.219444444444449</v>
      </c>
    </row>
    <row r="95" spans="1:8" ht="15.4" x14ac:dyDescent="0.55000000000000004">
      <c r="A95" s="4">
        <v>94</v>
      </c>
      <c r="B95" s="5">
        <f t="shared" si="11"/>
        <v>8</v>
      </c>
      <c r="C95" s="5" cm="1">
        <f t="array" ref="C95">_xlfn.SWITCH(B95,1,3,2,4,3,5,4,6,5,9,6,8,7,10,8,12)</f>
        <v>12</v>
      </c>
      <c r="D95" s="5">
        <f t="shared" si="12"/>
        <v>24</v>
      </c>
      <c r="E95" s="5">
        <f>1</f>
        <v>1</v>
      </c>
      <c r="F95" s="6">
        <f t="shared" si="13"/>
        <v>748989</v>
      </c>
      <c r="G95" s="7">
        <f t="shared" si="14"/>
        <v>6241.5749999999998</v>
      </c>
      <c r="H95" s="7">
        <f t="shared" si="15"/>
        <v>104.02624999999999</v>
      </c>
    </row>
    <row r="96" spans="1:8" ht="15.4" x14ac:dyDescent="0.55000000000000004">
      <c r="A96" s="4">
        <v>95</v>
      </c>
      <c r="B96" s="5">
        <f t="shared" si="11"/>
        <v>8</v>
      </c>
      <c r="C96" s="5" cm="1">
        <f t="array" ref="C96">_xlfn.SWITCH(B96,1,3,2,4,3,5,4,6,5,9,6,8,7,10,8,12)</f>
        <v>12</v>
      </c>
      <c r="D96" s="5">
        <f t="shared" si="12"/>
        <v>24</v>
      </c>
      <c r="E96" s="5">
        <f>1</f>
        <v>1</v>
      </c>
      <c r="F96" s="6">
        <f t="shared" si="13"/>
        <v>826949</v>
      </c>
      <c r="G96" s="7">
        <f t="shared" si="14"/>
        <v>6891.2416666666668</v>
      </c>
      <c r="H96" s="7">
        <f t="shared" si="15"/>
        <v>114.85402777777777</v>
      </c>
    </row>
    <row r="97" spans="1:8" ht="15.4" x14ac:dyDescent="0.55000000000000004">
      <c r="A97" s="4">
        <v>96</v>
      </c>
      <c r="B97" s="5">
        <f t="shared" si="11"/>
        <v>8</v>
      </c>
      <c r="C97" s="5" cm="1">
        <f t="array" ref="C97">_xlfn.SWITCH(B97,1,3,2,4,3,5,4,6,5,9,6,8,7,10,8,12)</f>
        <v>12</v>
      </c>
      <c r="D97" s="5">
        <f t="shared" si="12"/>
        <v>24</v>
      </c>
      <c r="E97" s="5">
        <f>1</f>
        <v>1</v>
      </c>
      <c r="F97" s="6">
        <f t="shared" si="13"/>
        <v>913023</v>
      </c>
      <c r="G97" s="7">
        <f t="shared" si="14"/>
        <v>7608.5249999999996</v>
      </c>
      <c r="H97" s="7">
        <f t="shared" si="15"/>
        <v>126.80874999999999</v>
      </c>
    </row>
    <row r="98" spans="1:8" ht="15.4" x14ac:dyDescent="0.55000000000000004">
      <c r="A98" s="4">
        <v>97</v>
      </c>
      <c r="B98" s="5">
        <f t="shared" ref="B98:B101" si="16">MIN(8,INT((A98-1)/10)+1)</f>
        <v>8</v>
      </c>
      <c r="C98" s="5" cm="1">
        <f t="array" ref="C98">_xlfn.SWITCH(B98,1,3,2,4,3,5,4,6,5,9,6,8,7,10,8,12)</f>
        <v>12</v>
      </c>
      <c r="D98" s="5">
        <f t="shared" ref="D98:D129" si="17">C98*2</f>
        <v>24</v>
      </c>
      <c r="E98" s="5">
        <f>1</f>
        <v>1</v>
      </c>
      <c r="F98" s="6">
        <f t="shared" si="13"/>
        <v>1008056</v>
      </c>
      <c r="G98" s="7">
        <f t="shared" si="14"/>
        <v>8400.4666666666672</v>
      </c>
      <c r="H98" s="7">
        <f t="shared" si="15"/>
        <v>140.00777777777779</v>
      </c>
    </row>
    <row r="99" spans="1:8" ht="15.4" x14ac:dyDescent="0.55000000000000004">
      <c r="A99" s="4">
        <v>98</v>
      </c>
      <c r="B99" s="5">
        <f t="shared" si="16"/>
        <v>8</v>
      </c>
      <c r="C99" s="5" cm="1">
        <f t="array" ref="C99">_xlfn.SWITCH(B99,1,3,2,4,3,5,4,6,5,9,6,8,7,10,8,12)</f>
        <v>12</v>
      </c>
      <c r="D99" s="5">
        <f t="shared" si="17"/>
        <v>24</v>
      </c>
      <c r="E99" s="5">
        <f>1</f>
        <v>1</v>
      </c>
      <c r="F99" s="6">
        <f t="shared" si="13"/>
        <v>1112982</v>
      </c>
      <c r="G99" s="7">
        <f t="shared" si="14"/>
        <v>9274.85</v>
      </c>
      <c r="H99" s="7">
        <f t="shared" si="15"/>
        <v>154.58083333333335</v>
      </c>
    </row>
    <row r="100" spans="1:8" ht="15.4" x14ac:dyDescent="0.55000000000000004">
      <c r="A100" s="4">
        <v>99</v>
      </c>
      <c r="B100" s="5">
        <f t="shared" si="16"/>
        <v>8</v>
      </c>
      <c r="C100" s="5" cm="1">
        <f t="array" ref="C100">_xlfn.SWITCH(B100,1,3,2,4,3,5,4,6,5,9,6,8,7,10,8,12)</f>
        <v>12</v>
      </c>
      <c r="D100" s="5">
        <f t="shared" si="17"/>
        <v>24</v>
      </c>
      <c r="E100" s="5">
        <f>1</f>
        <v>1</v>
      </c>
      <c r="F100" s="6">
        <f t="shared" si="13"/>
        <v>1228829</v>
      </c>
      <c r="G100" s="7">
        <f t="shared" si="14"/>
        <v>10240.241666666667</v>
      </c>
      <c r="H100" s="7">
        <f t="shared" si="15"/>
        <v>170.67069444444445</v>
      </c>
    </row>
    <row r="101" spans="1:8" ht="15.4" x14ac:dyDescent="0.55000000000000004">
      <c r="A101" s="4">
        <v>100</v>
      </c>
      <c r="B101" s="5">
        <f t="shared" si="16"/>
        <v>8</v>
      </c>
      <c r="C101" s="5" cm="1">
        <f t="array" ref="C101">_xlfn.SWITCH(B101,1,3,2,4,3,5,4,6,5,9,6,8,7,10,8,12)</f>
        <v>12</v>
      </c>
      <c r="D101" s="5">
        <f t="shared" si="17"/>
        <v>24</v>
      </c>
      <c r="E101" s="5">
        <f>1</f>
        <v>1</v>
      </c>
      <c r="F101" s="6">
        <f t="shared" si="13"/>
        <v>1356734</v>
      </c>
      <c r="G101" s="7">
        <f t="shared" si="14"/>
        <v>11306.116666666667</v>
      </c>
      <c r="H101" s="7">
        <f t="shared" si="15"/>
        <v>188.43527777777777</v>
      </c>
    </row>
    <row r="102" spans="1:8" ht="15.4" x14ac:dyDescent="0.55000000000000004">
      <c r="A102" s="4"/>
      <c r="B102" s="5"/>
      <c r="C102" s="5"/>
      <c r="D102" s="5"/>
      <c r="E102" s="5"/>
      <c r="F102" s="6"/>
      <c r="G102" s="7"/>
      <c r="H102" s="7">
        <f>SUBTOTAL(109,表2[time_hour])</f>
        <v>1998.8118055555556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08F4-0ABD-4A98-80B2-BD882099C372}">
  <dimension ref="A1:C9"/>
  <sheetViews>
    <sheetView zoomScale="145" zoomScaleNormal="145" workbookViewId="0">
      <selection activeCell="B2" sqref="B2"/>
    </sheetView>
  </sheetViews>
  <sheetFormatPr defaultRowHeight="13.9" x14ac:dyDescent="0.4"/>
  <cols>
    <col min="1" max="1" width="11.06640625" customWidth="1"/>
    <col min="2" max="2" width="16.33203125" customWidth="1"/>
    <col min="3" max="3" width="15.6640625" customWidth="1"/>
  </cols>
  <sheetData>
    <row r="1" spans="1:3" x14ac:dyDescent="0.4">
      <c r="A1" t="s">
        <v>0</v>
      </c>
      <c r="B1" t="s">
        <v>2</v>
      </c>
      <c r="C1" t="s">
        <v>18</v>
      </c>
    </row>
    <row r="2" spans="1:3" x14ac:dyDescent="0.4">
      <c r="A2">
        <v>1</v>
      </c>
      <c r="B2">
        <f>A2*3</f>
        <v>3</v>
      </c>
      <c r="C2" cm="1">
        <f t="array" ref="C2">_xlfn.SWITCH(A2,1,4,2,6,3,6,4,6,5,10,6,12,7,14,8,19)</f>
        <v>4</v>
      </c>
    </row>
    <row r="3" spans="1:3" x14ac:dyDescent="0.4">
      <c r="A3">
        <v>2</v>
      </c>
      <c r="B3">
        <f t="shared" ref="B3:B9" si="0">A3*3</f>
        <v>6</v>
      </c>
      <c r="C3" cm="1">
        <f t="array" ref="C3">_xlfn.SWITCH(A3,1,4,2,6,3,6,4,6,5,10,6,12,7,14,8,19)</f>
        <v>6</v>
      </c>
    </row>
    <row r="4" spans="1:3" x14ac:dyDescent="0.4">
      <c r="A4">
        <v>3</v>
      </c>
      <c r="B4">
        <f t="shared" si="0"/>
        <v>9</v>
      </c>
      <c r="C4" cm="1">
        <f t="array" ref="C4">_xlfn.SWITCH(A4,1,4,2,6,3,6,4,6,5,10,6,12,7,14,8,19)</f>
        <v>6</v>
      </c>
    </row>
    <row r="5" spans="1:3" x14ac:dyDescent="0.4">
      <c r="A5">
        <v>4</v>
      </c>
      <c r="B5">
        <f t="shared" si="0"/>
        <v>12</v>
      </c>
      <c r="C5" cm="1">
        <f t="array" ref="C5">_xlfn.SWITCH(A5,1,4,2,6,3,6,4,6,5,10,6,12,7,14,8,19)</f>
        <v>6</v>
      </c>
    </row>
    <row r="6" spans="1:3" x14ac:dyDescent="0.4">
      <c r="A6">
        <v>5</v>
      </c>
      <c r="B6">
        <f t="shared" si="0"/>
        <v>15</v>
      </c>
      <c r="C6" cm="1">
        <f t="array" ref="C6">_xlfn.SWITCH(A6,1,4,2,6,3,6,4,6,5,10,6,12,7,14,8,19)</f>
        <v>10</v>
      </c>
    </row>
    <row r="7" spans="1:3" x14ac:dyDescent="0.4">
      <c r="A7">
        <v>6</v>
      </c>
      <c r="B7">
        <f t="shared" si="0"/>
        <v>18</v>
      </c>
      <c r="C7" cm="1">
        <f t="array" ref="C7">_xlfn.SWITCH(A7,1,4,2,6,3,6,4,6,5,10,6,12,7,14,8,19)</f>
        <v>12</v>
      </c>
    </row>
    <row r="8" spans="1:3" x14ac:dyDescent="0.4">
      <c r="A8">
        <v>7</v>
      </c>
      <c r="B8">
        <f t="shared" si="0"/>
        <v>21</v>
      </c>
      <c r="C8" cm="1">
        <f t="array" ref="C8">_xlfn.SWITCH(A8,1,4,2,6,3,6,4,6,5,10,6,12,7,14,8,19)</f>
        <v>14</v>
      </c>
    </row>
    <row r="9" spans="1:3" x14ac:dyDescent="0.4">
      <c r="A9">
        <v>8</v>
      </c>
      <c r="B9">
        <f t="shared" si="0"/>
        <v>24</v>
      </c>
      <c r="C9" cm="1">
        <f t="array" ref="C9">_xlfn.SWITCH(A9,1,4,2,6,3,6,4,6,5,10,6,12,7,14,8,19)</f>
        <v>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5A9F-801F-425F-9443-7D1866A1BADC}">
  <dimension ref="A1:E4"/>
  <sheetViews>
    <sheetView zoomScale="160" zoomScaleNormal="160" workbookViewId="0">
      <selection activeCell="B1" sqref="B1"/>
    </sheetView>
  </sheetViews>
  <sheetFormatPr defaultRowHeight="13.9" x14ac:dyDescent="0.4"/>
  <cols>
    <col min="1" max="1" width="13.86328125" customWidth="1"/>
    <col min="2" max="2" width="30.6640625" customWidth="1"/>
    <col min="5" max="5" width="15.46484375" customWidth="1"/>
  </cols>
  <sheetData>
    <row r="1" spans="1:5" x14ac:dyDescent="0.4">
      <c r="A1" t="s">
        <v>8</v>
      </c>
      <c r="B1" t="s">
        <v>9</v>
      </c>
      <c r="D1" t="s">
        <v>10</v>
      </c>
      <c r="E1" t="s">
        <v>11</v>
      </c>
    </row>
    <row r="2" spans="1:5" x14ac:dyDescent="0.4">
      <c r="E2" t="s">
        <v>12</v>
      </c>
    </row>
    <row r="3" spans="1:5" x14ac:dyDescent="0.4">
      <c r="E3" t="s">
        <v>13</v>
      </c>
    </row>
    <row r="4" spans="1:5" x14ac:dyDescent="0.4">
      <c r="E4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55C2-0D24-4AA8-967D-7FE449D46188}">
  <dimension ref="A1:B2"/>
  <sheetViews>
    <sheetView zoomScale="175" zoomScaleNormal="175" workbookViewId="0">
      <selection activeCell="B2" sqref="B2"/>
    </sheetView>
  </sheetViews>
  <sheetFormatPr defaultRowHeight="13.9" x14ac:dyDescent="0.4"/>
  <cols>
    <col min="1" max="1" width="28.86328125" customWidth="1"/>
    <col min="2" max="2" width="38.53125" customWidth="1"/>
  </cols>
  <sheetData>
    <row r="1" spans="1:2" x14ac:dyDescent="0.4">
      <c r="A1" t="s">
        <v>15</v>
      </c>
    </row>
    <row r="2" spans="1:2" x14ac:dyDescent="0.4">
      <c r="A2" t="s">
        <v>16</v>
      </c>
      <c r="B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dcterms:created xsi:type="dcterms:W3CDTF">2015-06-05T18:19:34Z</dcterms:created>
  <dcterms:modified xsi:type="dcterms:W3CDTF">2025-12-15T05:56:05Z</dcterms:modified>
</cp:coreProperties>
</file>